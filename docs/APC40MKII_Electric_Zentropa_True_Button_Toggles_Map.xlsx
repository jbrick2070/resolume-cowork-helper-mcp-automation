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trol Map" sheetId="2" state="visible" r:id="rId2"/>
    <sheet name="XML Shortcuts" sheetId="3" state="visible" r:id="rId3"/>
    <sheet name="Continuous Detail" sheetId="4" state="visible" r:id="rId4"/>
    <sheet name="Button Feedback" sheetId="5" state="visible" r:id="rId5"/>
    <sheet name="QA Checks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0.000000000000"/>
    <numFmt numFmtId="166" formatCode="0.000000"/>
  </numFmts>
  <fonts count="10">
    <font>
      <name val="Carlito"/>
      <sz val="11"/>
    </font>
    <font>
      <name val="Aptos Display"/>
      <b val="1"/>
      <color rgb="FF203864"/>
      <sz val="18"/>
    </font>
    <font>
      <name val="Aptos"/>
      <i val="1"/>
      <color rgb="FF666666"/>
      <sz val="10"/>
    </font>
    <font>
      <name val="Aptos"/>
      <b val="1"/>
      <color rgb="FFFFFFFF"/>
      <sz val="10"/>
    </font>
    <font>
      <name val="Carlito"/>
      <b val="1"/>
      <color rgb="FFFFFFFF"/>
      <sz val="11"/>
    </font>
    <font>
      <name val="Carlito"/>
      <b val="1"/>
      <color rgb="FF203864"/>
      <sz val="11"/>
    </font>
    <font>
      <name val="Aptos"/>
      <sz val="10"/>
    </font>
    <font>
      <name val="Aptos"/>
      <b val="1"/>
      <color rgb="FF203864"/>
      <sz val="10"/>
    </font>
    <font>
      <name val="Carlito"/>
      <b val="1"/>
      <color rgb="FF000000"/>
      <sz val="11"/>
    </font>
    <font>
      <name val="Aptos"/>
      <b val="1"/>
      <color rgb="FF203864"/>
      <sz val="9"/>
    </font>
  </fonts>
  <fills count="13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2B5BFF"/>
      </patternFill>
    </fill>
    <fill>
      <patternFill patternType="solid">
        <fgColor rgb="FF17C8E8"/>
      </patternFill>
    </fill>
    <fill>
      <patternFill patternType="solid">
        <fgColor rgb="FF23C552"/>
      </patternFill>
    </fill>
    <fill>
      <patternFill patternType="solid">
        <fgColor rgb="FFE23B3B"/>
      </patternFill>
    </fill>
    <fill>
      <patternFill patternType="solid">
        <fgColor rgb="FFF08A24"/>
      </patternFill>
    </fill>
    <fill>
      <patternFill patternType="solid">
        <fgColor rgb="FF7A3FC0"/>
      </patternFill>
    </fill>
    <fill>
      <patternFill patternType="solid">
        <fgColor rgb="FFC81E9A"/>
      </patternFill>
    </fill>
    <fill>
      <patternFill patternType="solid">
        <fgColor rgb="FFE6E6E6"/>
      </patternFill>
    </fill>
  </fills>
  <borders count="4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6" fillId="0" borderId="0" pivotButton="0" quotePrefix="0" xfId="0"/>
    <xf numFmtId="0" fontId="3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 wrapText="1"/>
    </xf>
    <xf numFmtId="164" fontId="6" fillId="0" borderId="0" pivotButton="0" quotePrefix="0" xfId="0"/>
    <xf numFmtId="0" fontId="6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 wrapText="1"/>
    </xf>
    <xf numFmtId="0" fontId="3" fillId="3" borderId="3" pivotButton="0" quotePrefix="0" xfId="0"/>
    <xf numFmtId="0" fontId="3" fillId="3" borderId="3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0" fillId="9" borderId="0" pivotButton="0" quotePrefix="0" xfId="0"/>
    <xf numFmtId="0" fontId="8" fillId="9" borderId="0" pivotButton="0" quotePrefix="0" xfId="0"/>
    <xf numFmtId="0" fontId="8" fillId="9" borderId="0" applyAlignment="1" pivotButton="0" quotePrefix="0" xfId="0">
      <alignment horizontal="center"/>
    </xf>
    <xf numFmtId="0" fontId="0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0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horizontal="center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horizont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/>
  </cellStyles>
  <dxfs count="1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eadMeFacts" displayName="ReadMeFacts" ref="A4:B17" headerRowCount="1" totalsRowCount="0" totalsRowShown="0">
  <autoFilter ref="A4:B17"/>
  <tableColumns count="2">
    <tableColumn id="1" name="Artifact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ysicalControlMap" displayName="PhysicalControlMap" ref="A4:T152" headerRowCount="1" totalsRowCount="0" totalsRowShown="0">
  <autoFilter ref="A4:T152"/>
  <tableColumns count="20">
    <tableColumn id="1" name="Layer"/>
    <tableColumn id="2" name="Section"/>
    <tableColumn id="3" name="Label"/>
    <tableColumn id="4" name="Layer Name"/>
    <tableColumn id="5" name="MIDI Type"/>
    <tableColumn id="6" name="Data 1"/>
    <tableColumn id="7" name="Channel"/>
    <tableColumn id="8" name="MIDI Address"/>
    <tableColumn id="9" name="Raw Key"/>
    <tableColumn id="10" name="LED Velocity"/>
    <tableColumn id="11" name="Witness Color"/>
    <tableColumn id="12" name="Panel X"/>
    <tableColumn id="13" name="Panel Y"/>
    <tableColumn id="14" name="Avenue X"/>
    <tableColumn id="15" name="Avenue Y"/>
    <tableColumn id="16" name="Scale %"/>
    <tableColumn id="17" name="Expected Clip Name"/>
    <tableColumn id="18" name="Mapping Count"/>
    <tableColumn id="19" name="XML Roles"/>
    <tableColumn id="20" name="Q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ptedXmlShortcuts" displayName="AcceptedXmlShortcuts" ref="A4:X207" headerRowCount="1" totalsRowCount="0" totalsRowShown="0">
  <autoFilter ref="A4:X207"/>
  <tableColumns count="24">
    <tableColumn id="1" name="Order"/>
    <tableColumn id="2" name="Unique ID"/>
    <tableColumn id="3" name="Role"/>
    <tableColumn id="4" name="Layer"/>
    <tableColumn id="5" name="Control"/>
    <tableColumn id="6" name="Layer Name"/>
    <tableColumn id="7" name="MIDI Type"/>
    <tableColumn id="8" name="Data 1"/>
    <tableColumn id="9" name="Channel"/>
    <tableColumn id="10" name="Raw Key"/>
    <tableColumn id="11" name="MIDI Address"/>
    <tableColumn id="12" name="Input Path"/>
    <tableColumn id="13" name="Behaviour"/>
    <tableColumn id="14" name="Input Mode"/>
    <tableColumn id="15" name="Range Min"/>
    <tableColumn id="16" name="Range Max"/>
    <tableColumn id="17" name="Direction"/>
    <tableColumn id="18" name="Num Steps"/>
    <tableColumn id="19" name="Raw Value"/>
    <tableColumn id="20" name="Output Device"/>
    <tableColumn id="21" name="Output Path"/>
    <tableColumn id="22" name="Input Sibling"/>
    <tableColumn id="23" name="Output Sibling"/>
    <tableColumn id="24" name="Named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inuousControlDetail" displayName="ContinuousControlDetail" ref="A4:Q32" headerRowCount="1" totalsRowCount="0" totalsRowShown="0">
  <autoFilter ref="A4:Q32"/>
  <tableColumns count="17">
    <tableColumn id="1" name="Layer"/>
    <tableColumn id="2" name="Control"/>
    <tableColumn id="3" name="MIDI Address"/>
    <tableColumn id="4" name="Raw Key"/>
    <tableColumn id="5" name="Witness Color"/>
    <tableColumn id="6" name="Wake Path"/>
    <tableColumn id="7" name="Opacity Path"/>
    <tableColumn id="8" name="Opacity Min"/>
    <tableColumn id="9" name="Opacity Max"/>
    <tableColumn id="10" name="Motion Role"/>
    <tableColumn id="11" name="Motion Path"/>
    <tableColumn id="12" name="Motion Min"/>
    <tableColumn id="13" name="Motion Max"/>
    <tableColumn id="14" name="Direction"/>
    <tableColumn id="15" name="Behaviour"/>
    <tableColumn id="16" name="Mappings"/>
    <tableColumn id="17" name="Q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ttonFeedbackMap" displayName="ButtonFeedbackMap" ref="A4:N124" headerRowCount="1" totalsRowCount="0" totalsRowShown="0">
  <autoFilter ref="A4:N124"/>
  <tableColumns count="14">
    <tableColumn id="1" name="Layer"/>
    <tableColumn id="2" name="Control"/>
    <tableColumn id="3" name="Section"/>
    <tableColumn id="4" name="MIDI Address"/>
    <tableColumn id="5" name="Raw Key"/>
    <tableColumn id="6" name="Connect Path"/>
    <tableColumn id="7" name="Output Path"/>
    <tableColumn id="8" name="Feedback Sibling"/>
    <tableColumn id="9" name="Output Device"/>
    <tableColumn id="10" name="LED Velocity"/>
    <tableColumn id="11" name="Witness Color"/>
    <tableColumn id="12" name="Connected Value"/>
    <tableColumn id="13" name="Mappings"/>
    <tableColumn id="14" name="Q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erificationChecks" displayName="VerificationChecks" ref="A4:E20" headerRowCount="1" totalsRowCount="0" totalsRowShown="0">
  <autoFilter ref="A4:E20"/>
  <tableColumns count="5">
    <tableColumn id="1" name="#"/>
    <tableColumn id="2" name="Check"/>
    <tableColumn id="3" name="Expected"/>
    <tableColumn id="4" name="Actual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3" t="inlineStr">
        <is>
          <t>APC40 mkII Electric Zentropa True Button Toggles Map</t>
        </is>
      </c>
    </row>
    <row r="2" ht="20" customHeight="1">
      <c r="A2" s="5" t="inlineStr">
        <is>
          <t>Accepted Resolume Avenue 7.27.1 mapping — one physical control per layer, with all 203 XML shortcuts exposed</t>
        </is>
      </c>
    </row>
    <row r="3">
      <c r="A3" t="inlineStr">
        <is>
          <t>NOTE: In the True Button Toggles layout, physical Note buttons utilize Resolume's native toggle behaviors.</t>
        </is>
      </c>
    </row>
    <row r="4" ht="32" customHeight="1">
      <c r="A4" s="15" t="inlineStr">
        <is>
          <t>This provides full physical LED color toggles on the controller, at the expense of potential desyncs with the on-screen UI.</t>
        </is>
      </c>
      <c r="B4" s="16" t="inlineStr">
        <is>
          <t>Value</t>
        </is>
      </c>
      <c r="C4" s="31" t="n"/>
      <c r="D4" s="32" t="inlineStr">
        <is>
          <t>Latest saved visual language</t>
        </is>
      </c>
    </row>
    <row r="5">
      <c r="A5" s="31" t="inlineStr">
        <is>
          <t>Composition</t>
        </is>
      </c>
      <c r="B5" s="31" t="inlineStr">
        <is>
          <t>APC40_Visual_QA_148</t>
        </is>
      </c>
      <c r="C5" s="31" t="n"/>
      <c r="D5" s="29" t="inlineStr">
        <is>
          <t>Role</t>
        </is>
      </c>
      <c r="E5" s="29" t="inlineStr">
        <is>
          <t>Witness</t>
        </is>
      </c>
      <c r="F5" s="29" t="inlineStr">
        <is>
          <t>Color</t>
        </is>
      </c>
      <c r="G5" s="29" t="inlineStr">
        <is>
          <t>Meaning</t>
        </is>
      </c>
      <c r="H5" s="29" t="inlineStr">
        <is>
          <t>State authority</t>
        </is>
      </c>
    </row>
    <row r="6">
      <c r="A6" s="31" t="inlineStr">
        <is>
          <t>Accepted build</t>
        </is>
      </c>
      <c r="B6" s="31" t="inlineStr">
        <is>
          <t>B1-728792218d26e596</t>
        </is>
      </c>
      <c r="C6" s="31" t="n"/>
      <c r="D6" s="31" t="inlineStr">
        <is>
          <t>Grid</t>
        </is>
      </c>
      <c r="E6" s="31" t="inlineStr">
        <is>
          <t>G1-1 … G8-5</t>
        </is>
      </c>
      <c r="F6" s="31" t="inlineStr">
        <is>
          <t>Column RGB</t>
        </is>
      </c>
      <c r="G6" s="31" t="inlineStr">
        <is>
          <t>Physical pad column</t>
        </is>
      </c>
      <c r="H6" s="31" t="inlineStr">
        <is>
          <t>MIDI</t>
        </is>
      </c>
    </row>
    <row r="7">
      <c r="A7" s="31" t="inlineStr">
        <is>
          <t>Preset</t>
        </is>
      </c>
      <c r="B7" s="31" t="inlineStr">
        <is>
          <t>APC 40 MK II - Visual QA</t>
        </is>
      </c>
      <c r="C7" s="31" t="n"/>
      <c r="D7" s="31" t="inlineStr">
        <is>
          <t>Fixed buttons</t>
        </is>
      </c>
      <c r="E7" s="31" t="inlineStr">
        <is>
          <t>Labels</t>
        </is>
      </c>
      <c r="F7" s="31" t="inlineStr">
        <is>
          <t>Amber / white</t>
        </is>
      </c>
      <c r="G7" s="31" t="inlineStr">
        <is>
          <t>Device LED family</t>
        </is>
      </c>
      <c r="H7" s="31" t="inlineStr">
        <is>
          <t>MIDI</t>
        </is>
      </c>
    </row>
    <row r="8">
      <c r="A8" s="31" t="inlineStr">
        <is>
          <t>Preset ID</t>
        </is>
      </c>
      <c r="B8" s="31" t="inlineStr">
        <is>
          <t>2027461064</t>
        </is>
      </c>
      <c r="C8" s="31" t="n"/>
      <c r="D8" s="31" t="inlineStr">
        <is>
          <t>Solo</t>
        </is>
      </c>
      <c r="E8" s="31" t="inlineStr">
        <is>
          <t>S</t>
        </is>
      </c>
      <c r="F8" s="31" t="inlineStr">
        <is>
          <t>Blue</t>
        </is>
      </c>
      <c r="G8" s="31" t="inlineStr">
        <is>
          <t>Dedicated Solo LED</t>
        </is>
      </c>
      <c r="H8" s="31" t="inlineStr">
        <is>
          <t>MIDI</t>
        </is>
      </c>
    </row>
    <row r="9">
      <c r="A9" s="31" t="inlineStr">
        <is>
          <t>Resolume version</t>
        </is>
      </c>
      <c r="B9" s="31" t="inlineStr">
        <is>
          <t>7.27.1.15990</t>
        </is>
      </c>
      <c r="C9" s="31" t="n"/>
      <c r="D9" s="31" t="inlineStr">
        <is>
          <t>Record Arm</t>
        </is>
      </c>
      <c r="E9" s="31" t="inlineStr">
        <is>
          <t>●</t>
        </is>
      </c>
      <c r="F9" s="31" t="inlineStr">
        <is>
          <t>Red</t>
        </is>
      </c>
      <c r="G9" s="31" t="inlineStr">
        <is>
          <t>Dedicated Record Arm LED</t>
        </is>
      </c>
      <c r="H9" s="31" t="inlineStr">
        <is>
          <t>MIDI</t>
        </is>
      </c>
    </row>
    <row r="10">
      <c r="A10" s="31" t="inlineStr">
        <is>
          <t>Source XML</t>
        </is>
      </c>
      <c r="B10" s="31" t="inlineStr">
        <is>
          <t>controllers/APC 40 MK II - Visual QA.xml</t>
        </is>
      </c>
      <c r="C10" s="31" t="n"/>
      <c r="D10" s="31" t="inlineStr">
        <is>
          <t>Continuous</t>
        </is>
      </c>
      <c r="E10" s="31" t="inlineStr">
        <is>
          <t>Faders / knobs</t>
        </is>
      </c>
      <c r="F10" s="31" t="inlineStr">
        <is>
          <t>White; Tempo red</t>
        </is>
      </c>
      <c r="G10" s="31" t="inlineStr">
        <is>
          <t>No colored LED; Tempo is relative</t>
        </is>
      </c>
      <c r="H10" s="31" t="inlineStr">
        <is>
          <t>MIDI + value</t>
        </is>
      </c>
    </row>
    <row r="11">
      <c r="A11" s="31" t="inlineStr">
        <is>
          <t>Source SHA-256</t>
        </is>
      </c>
      <c r="B11" s="31" t="inlineStr">
        <is>
          <t>4628634b4fb9a9909a5b1ee9d7c9df1a759371cc7a90ce183d8bb4cc40d1abc5</t>
        </is>
      </c>
      <c r="C11" s="31" t="n"/>
      <c r="D11" s="31" t="n"/>
      <c r="E11" s="31" t="n"/>
      <c r="F11" s="31" t="n"/>
      <c r="G11" s="31" t="n"/>
      <c r="H11" s="31" t="n"/>
    </row>
    <row r="12">
      <c r="A12" s="31" t="inlineStr">
        <is>
          <t>Source modified</t>
        </is>
      </c>
      <c r="B12" s="70" t="n">
        <v>46222.36021295139</v>
      </c>
      <c r="C12" s="31" t="n"/>
      <c r="D12" s="32" t="inlineStr">
        <is>
          <t>Workbook tabs</t>
        </is>
      </c>
    </row>
    <row r="13">
      <c r="A13" s="31" t="inlineStr">
        <is>
          <t>Physical controls</t>
        </is>
      </c>
      <c r="B13" s="31">
        <f>COUNTA('Control Map'!$A$5:$A$152)</f>
        <v/>
      </c>
      <c r="C13" s="31" t="n"/>
      <c r="D13" s="31" t="inlineStr">
        <is>
          <t>Control Map</t>
        </is>
      </c>
      <c r="E13" s="31" t="inlineStr">
        <is>
          <t>148 physical controls</t>
        </is>
      </c>
      <c r="F13" s="31" t="inlineStr">
        <is>
          <t>layout, color, MIDI</t>
        </is>
      </c>
      <c r="G13" s="31" t="inlineStr">
        <is>
          <t>mapping count</t>
        </is>
      </c>
      <c r="H13" s="31" t="inlineStr">
        <is>
          <t>row QA</t>
        </is>
      </c>
    </row>
    <row r="14">
      <c r="A14" s="31" t="inlineStr">
        <is>
          <t>XML shortcut records</t>
        </is>
      </c>
      <c r="B14" s="31">
        <f>COUNTA('XML Shortcuts'!$B$5:$B$207)</f>
        <v/>
      </c>
      <c r="C14" s="31" t="n"/>
      <c r="D14" s="31" t="inlineStr">
        <is>
          <t>XML Shortcuts</t>
        </is>
      </c>
      <c r="E14" s="31" t="inlineStr">
        <is>
          <t>203 XML records</t>
        </is>
      </c>
      <c r="F14" s="31" t="inlineStr">
        <is>
          <t>paths and IDs</t>
        </is>
      </c>
      <c r="G14" s="31" t="inlineStr">
        <is>
          <t>ranges</t>
        </is>
      </c>
      <c r="H14" s="31" t="inlineStr">
        <is>
          <t>feedback</t>
        </is>
      </c>
    </row>
    <row r="15">
      <c r="A15" s="31" t="inlineStr">
        <is>
          <t>Unique raw MIDI keys</t>
        </is>
      </c>
      <c r="B15" s="31">
        <f>ROWS(_xlfn.UNIQUE('XML Shortcuts'!$J$5:$J$207))</f>
        <v/>
      </c>
      <c r="C15" s="31" t="n"/>
      <c r="D15" s="31" t="inlineStr">
        <is>
          <t>Continuous Detail</t>
        </is>
      </c>
      <c r="E15" s="31" t="inlineStr">
        <is>
          <t>28 CC controls</t>
        </is>
      </c>
      <c r="F15" s="31" t="inlineStr">
        <is>
          <t>wake</t>
        </is>
      </c>
      <c r="G15" s="31" t="inlineStr">
        <is>
          <t>opacity</t>
        </is>
      </c>
      <c r="H15" s="31" t="inlineStr">
        <is>
          <t>motion</t>
        </is>
      </c>
    </row>
    <row r="16">
      <c r="A16" s="31" t="inlineStr">
        <is>
          <t>Buttons / notes</t>
        </is>
      </c>
      <c r="B16" s="31">
        <f>COUNTIF('Control Map'!$E$5:$E$152,"note")</f>
        <v/>
      </c>
      <c r="C16" s="31" t="n"/>
      <c r="D16" s="31" t="inlineStr">
        <is>
          <t>Button Feedback</t>
        </is>
      </c>
      <c r="E16" s="31" t="inlineStr">
        <is>
          <t>120 notes</t>
        </is>
      </c>
      <c r="F16" s="31" t="inlineStr">
        <is>
          <t>connect path</t>
        </is>
      </c>
      <c r="G16" s="31" t="inlineStr">
        <is>
          <t>LED velocity</t>
        </is>
      </c>
      <c r="H16" s="31" t="inlineStr">
        <is>
          <t>feedback</t>
        </is>
      </c>
    </row>
    <row r="17">
      <c r="A17" s="31" t="inlineStr">
        <is>
          <t>Continuous controls / CC</t>
        </is>
      </c>
      <c r="B17" s="31">
        <f>COUNTIF('Control Map'!$E$5:$E$152,"cc")</f>
        <v/>
      </c>
      <c r="C17" s="31" t="n"/>
      <c r="D17" s="31" t="inlineStr">
        <is>
          <t>QA Checks</t>
        </is>
      </c>
      <c r="E17" s="31" t="inlineStr">
        <is>
          <t>contract tests</t>
        </is>
      </c>
      <c r="F17" s="31" t="inlineStr">
        <is>
          <t>formula-driven</t>
        </is>
      </c>
      <c r="G17" s="31" t="inlineStr">
        <is>
          <t>expected vs actual</t>
        </is>
      </c>
      <c r="H17" s="31" t="inlineStr">
        <is>
          <t>PASS / FAIL</t>
        </is>
      </c>
    </row>
  </sheetData>
  <mergeCells count="4">
    <mergeCell ref="D4:H4"/>
    <mergeCell ref="D12:H12"/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4" customWidth="1" min="4" max="4"/>
    <col width="10" customWidth="1" min="5" max="5"/>
    <col width="9" customWidth="1" min="6" max="6"/>
    <col width="9" customWidth="1" min="7" max="7"/>
    <col width="14" customWidth="1" min="8" max="8"/>
    <col width="23" customWidth="1" min="9" max="9"/>
    <col width="12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3" customWidth="1" min="18" max="18"/>
    <col width="34" customWidth="1" min="19" max="19"/>
    <col width="10" customWidth="1" min="20" max="20"/>
  </cols>
  <sheetData>
    <row r="1" ht="28" customHeight="1">
      <c r="A1" s="64" t="inlineStr">
        <is>
          <t>Physical Control Map — 148 Controls</t>
        </is>
      </c>
    </row>
    <row r="2" ht="20" customHeight="1">
      <c r="A2" s="5" t="inlineStr">
        <is>
          <t>The manifest joins each hardware control to its layer, Text Animator witness, raw MIDI key, and accepted XML roles</t>
        </is>
      </c>
    </row>
    <row r="4" ht="32" customHeight="1">
      <c r="A4" s="15" t="inlineStr">
        <is>
          <t>Layer</t>
        </is>
      </c>
      <c r="B4" s="37" t="inlineStr">
        <is>
          <t>Section</t>
        </is>
      </c>
      <c r="C4" s="37" t="inlineStr">
        <is>
          <t>Label</t>
        </is>
      </c>
      <c r="D4" s="37" t="inlineStr">
        <is>
          <t>Layer Name</t>
        </is>
      </c>
      <c r="E4" s="37" t="inlineStr">
        <is>
          <t>MIDI Type</t>
        </is>
      </c>
      <c r="F4" s="37" t="inlineStr">
        <is>
          <t>Data 1</t>
        </is>
      </c>
      <c r="G4" s="37" t="inlineStr">
        <is>
          <t>Channel</t>
        </is>
      </c>
      <c r="H4" s="37" t="inlineStr">
        <is>
          <t>MIDI Address</t>
        </is>
      </c>
      <c r="I4" s="37" t="inlineStr">
        <is>
          <t>Raw Key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Panel X</t>
        </is>
      </c>
      <c r="M4" s="37" t="inlineStr">
        <is>
          <t>Panel Y</t>
        </is>
      </c>
      <c r="N4" s="37" t="inlineStr">
        <is>
          <t>Avenue X</t>
        </is>
      </c>
      <c r="O4" s="37" t="inlineStr">
        <is>
          <t>Avenue Y</t>
        </is>
      </c>
      <c r="P4" s="37" t="inlineStr">
        <is>
          <t>Scale %</t>
        </is>
      </c>
      <c r="Q4" s="37" t="inlineStr">
        <is>
          <t>Expected Clip Name</t>
        </is>
      </c>
      <c r="R4" s="37" t="inlineStr">
        <is>
          <t>Mapping Count</t>
        </is>
      </c>
      <c r="S4" s="37" t="inlineStr">
        <is>
          <t>XML Roles</t>
        </is>
      </c>
      <c r="T4" s="16" t="inlineStr">
        <is>
          <t>QA</t>
        </is>
      </c>
    </row>
    <row r="5">
      <c r="A5" s="71" t="n">
        <v>1</v>
      </c>
      <c r="B5" t="inlineStr">
        <is>
          <t>grid</t>
        </is>
      </c>
      <c r="C5" t="inlineStr">
        <is>
          <t>G1-5</t>
        </is>
      </c>
      <c r="D5" t="inlineStr">
        <is>
          <t>Grid 5 Track 1</t>
        </is>
      </c>
      <c r="E5" t="inlineStr">
        <is>
          <t>note</t>
        </is>
      </c>
      <c r="F5" s="71" t="n">
        <v>0</v>
      </c>
      <c r="G5" s="71" t="n">
        <v>1</v>
      </c>
      <c r="H5" t="inlineStr">
        <is>
          <t>N0/C1</t>
        </is>
      </c>
      <c r="I5" s="72" t="inlineStr">
        <is>
          <t>72057594037928080</t>
        </is>
      </c>
      <c r="J5" s="71" t="n">
        <v>45</v>
      </c>
      <c r="K5" s="42" t="inlineStr">
        <is>
          <t>#2b5bffff</t>
        </is>
      </c>
      <c r="L5" s="71" t="n">
        <v>225</v>
      </c>
      <c r="M5" s="71" t="n">
        <v>1085</v>
      </c>
      <c r="N5" s="71" t="n">
        <v>-769</v>
      </c>
      <c r="O5" s="71" t="n">
        <v>-68</v>
      </c>
      <c r="P5" s="71" t="n">
        <v>50</v>
      </c>
      <c r="Q5" t="inlineStr">
        <is>
          <t>N0/C1</t>
        </is>
      </c>
      <c r="R5" t="n">
        <v>1</v>
      </c>
      <c r="S5" t="inlineStr">
        <is>
          <t>button_connect</t>
        </is>
      </c>
      <c r="T5" t="inlineStr">
        <is>
          <t>PASS</t>
        </is>
      </c>
    </row>
    <row r="6">
      <c r="A6" s="71" t="n">
        <v>2</v>
      </c>
      <c r="B6" t="inlineStr">
        <is>
          <t>grid</t>
        </is>
      </c>
      <c r="C6" t="inlineStr">
        <is>
          <t>G2-5</t>
        </is>
      </c>
      <c r="D6" t="inlineStr">
        <is>
          <t>Grid 5 Track 2</t>
        </is>
      </c>
      <c r="E6" t="inlineStr">
        <is>
          <t>note</t>
        </is>
      </c>
      <c r="F6" s="71" t="n">
        <v>1</v>
      </c>
      <c r="G6" s="71" t="n">
        <v>1</v>
      </c>
      <c r="H6" t="inlineStr">
        <is>
          <t>N1/C1</t>
        </is>
      </c>
      <c r="I6" s="72" t="inlineStr">
        <is>
          <t>72057594037928336</t>
        </is>
      </c>
      <c r="J6" s="71" t="n">
        <v>37</v>
      </c>
      <c r="K6" s="45" t="inlineStr">
        <is>
          <t>#17c8e8ff</t>
        </is>
      </c>
      <c r="L6" s="71" t="n">
        <v>545</v>
      </c>
      <c r="M6" s="71" t="n">
        <v>1085</v>
      </c>
      <c r="N6" s="71" t="n">
        <v>-639</v>
      </c>
      <c r="O6" s="71" t="n">
        <v>-68</v>
      </c>
      <c r="P6" s="71" t="n">
        <v>50</v>
      </c>
      <c r="Q6" t="inlineStr">
        <is>
          <t>N1/C1</t>
        </is>
      </c>
      <c r="R6" t="n">
        <v>1</v>
      </c>
      <c r="S6" t="inlineStr">
        <is>
          <t>button_connect</t>
        </is>
      </c>
      <c r="T6" t="inlineStr">
        <is>
          <t>PASS</t>
        </is>
      </c>
    </row>
    <row r="7">
      <c r="A7" s="71" t="n">
        <v>3</v>
      </c>
      <c r="B7" t="inlineStr">
        <is>
          <t>grid</t>
        </is>
      </c>
      <c r="C7" t="inlineStr">
        <is>
          <t>G3-5</t>
        </is>
      </c>
      <c r="D7" t="inlineStr">
        <is>
          <t>Grid 5 Track 3</t>
        </is>
      </c>
      <c r="E7" t="inlineStr">
        <is>
          <t>note</t>
        </is>
      </c>
      <c r="F7" s="71" t="n">
        <v>2</v>
      </c>
      <c r="G7" s="71" t="n">
        <v>1</v>
      </c>
      <c r="H7" t="inlineStr">
        <is>
          <t>N2/C1</t>
        </is>
      </c>
      <c r="I7" s="72" t="inlineStr">
        <is>
          <t>72057594037928592</t>
        </is>
      </c>
      <c r="J7" s="71" t="n">
        <v>21</v>
      </c>
      <c r="K7" s="48" t="inlineStr">
        <is>
          <t>#23c552ff</t>
        </is>
      </c>
      <c r="L7" s="71" t="n">
        <v>865</v>
      </c>
      <c r="M7" s="71" t="n">
        <v>1085</v>
      </c>
      <c r="N7" s="71" t="n">
        <v>-509</v>
      </c>
      <c r="O7" s="71" t="n">
        <v>-68</v>
      </c>
      <c r="P7" s="71" t="n">
        <v>50</v>
      </c>
      <c r="Q7" t="inlineStr">
        <is>
          <t>N2/C1</t>
        </is>
      </c>
      <c r="R7" t="n">
        <v>1</v>
      </c>
      <c r="S7" t="inlineStr">
        <is>
          <t>button_connect</t>
        </is>
      </c>
      <c r="T7" t="inlineStr">
        <is>
          <t>PASS</t>
        </is>
      </c>
    </row>
    <row r="8">
      <c r="A8" s="71" t="n">
        <v>4</v>
      </c>
      <c r="B8" t="inlineStr">
        <is>
          <t>grid</t>
        </is>
      </c>
      <c r="C8" t="inlineStr">
        <is>
          <t>G4-5</t>
        </is>
      </c>
      <c r="D8" t="inlineStr">
        <is>
          <t>Grid 5 Track 4</t>
        </is>
      </c>
      <c r="E8" t="inlineStr">
        <is>
          <t>note</t>
        </is>
      </c>
      <c r="F8" s="71" t="n">
        <v>3</v>
      </c>
      <c r="G8" s="71" t="n">
        <v>1</v>
      </c>
      <c r="H8" t="inlineStr">
        <is>
          <t>N3/C1</t>
        </is>
      </c>
      <c r="I8" s="72" t="inlineStr">
        <is>
          <t>72057594037928848</t>
        </is>
      </c>
      <c r="J8" s="71" t="n">
        <v>5</v>
      </c>
      <c r="K8" s="51" t="inlineStr">
        <is>
          <t>#e23b3bff</t>
        </is>
      </c>
      <c r="L8" s="71" t="n">
        <v>1185</v>
      </c>
      <c r="M8" s="71" t="n">
        <v>1085</v>
      </c>
      <c r="N8" s="71" t="n">
        <v>-379</v>
      </c>
      <c r="O8" s="71" t="n">
        <v>-68</v>
      </c>
      <c r="P8" s="71" t="n">
        <v>50</v>
      </c>
      <c r="Q8" t="inlineStr">
        <is>
          <t>N3/C1</t>
        </is>
      </c>
      <c r="R8" t="n">
        <v>1</v>
      </c>
      <c r="S8" t="inlineStr">
        <is>
          <t>button_connect</t>
        </is>
      </c>
      <c r="T8" t="inlineStr">
        <is>
          <t>PASS</t>
        </is>
      </c>
    </row>
    <row r="9">
      <c r="A9" s="71" t="n">
        <v>5</v>
      </c>
      <c r="B9" t="inlineStr">
        <is>
          <t>grid</t>
        </is>
      </c>
      <c r="C9" t="inlineStr">
        <is>
          <t>G5-5</t>
        </is>
      </c>
      <c r="D9" t="inlineStr">
        <is>
          <t>Grid 5 Track 5</t>
        </is>
      </c>
      <c r="E9" t="inlineStr">
        <is>
          <t>note</t>
        </is>
      </c>
      <c r="F9" s="71" t="n">
        <v>4</v>
      </c>
      <c r="G9" s="71" t="n">
        <v>1</v>
      </c>
      <c r="H9" t="inlineStr">
        <is>
          <t>N4/C1</t>
        </is>
      </c>
      <c r="I9" s="72" t="inlineStr">
        <is>
          <t>72057594037929104</t>
        </is>
      </c>
      <c r="J9" s="71" t="n">
        <v>9</v>
      </c>
      <c r="K9" s="54" t="inlineStr">
        <is>
          <t>#f08a24ff</t>
        </is>
      </c>
      <c r="L9" s="71" t="n">
        <v>1505</v>
      </c>
      <c r="M9" s="71" t="n">
        <v>1085</v>
      </c>
      <c r="N9" s="71" t="n">
        <v>-249</v>
      </c>
      <c r="O9" s="71" t="n">
        <v>-68</v>
      </c>
      <c r="P9" s="71" t="n">
        <v>50</v>
      </c>
      <c r="Q9" t="inlineStr">
        <is>
          <t>N4/C1</t>
        </is>
      </c>
      <c r="R9" t="n">
        <v>1</v>
      </c>
      <c r="S9" t="inlineStr">
        <is>
          <t>button_connect</t>
        </is>
      </c>
      <c r="T9" t="inlineStr">
        <is>
          <t>PASS</t>
        </is>
      </c>
    </row>
    <row r="10">
      <c r="A10" s="71" t="n">
        <v>6</v>
      </c>
      <c r="B10" t="inlineStr">
        <is>
          <t>grid</t>
        </is>
      </c>
      <c r="C10" t="inlineStr">
        <is>
          <t>G6-5</t>
        </is>
      </c>
      <c r="D10" t="inlineStr">
        <is>
          <t>Grid 5 Track 6</t>
        </is>
      </c>
      <c r="E10" t="inlineStr">
        <is>
          <t>note</t>
        </is>
      </c>
      <c r="F10" s="71" t="n">
        <v>5</v>
      </c>
      <c r="G10" s="71" t="n">
        <v>1</v>
      </c>
      <c r="H10" t="inlineStr">
        <is>
          <t>N5/C1</t>
        </is>
      </c>
      <c r="I10" s="72" t="inlineStr">
        <is>
          <t>72057594037929360</t>
        </is>
      </c>
      <c r="J10" s="71" t="n">
        <v>49</v>
      </c>
      <c r="K10" s="57" t="inlineStr">
        <is>
          <t>#7a3fc0ff</t>
        </is>
      </c>
      <c r="L10" s="71" t="n">
        <v>1825</v>
      </c>
      <c r="M10" s="71" t="n">
        <v>1085</v>
      </c>
      <c r="N10" s="71" t="n">
        <v>-120</v>
      </c>
      <c r="O10" s="71" t="n">
        <v>-68</v>
      </c>
      <c r="P10" s="71" t="n">
        <v>50</v>
      </c>
      <c r="Q10" t="inlineStr">
        <is>
          <t>N5/C1</t>
        </is>
      </c>
      <c r="R10" t="n">
        <v>1</v>
      </c>
      <c r="S10" t="inlineStr">
        <is>
          <t>button_connect</t>
        </is>
      </c>
      <c r="T10" t="inlineStr">
        <is>
          <t>PASS</t>
        </is>
      </c>
    </row>
    <row r="11">
      <c r="A11" s="71" t="n">
        <v>7</v>
      </c>
      <c r="B11" t="inlineStr">
        <is>
          <t>grid</t>
        </is>
      </c>
      <c r="C11" t="inlineStr">
        <is>
          <t>G7-5</t>
        </is>
      </c>
      <c r="D11" t="inlineStr">
        <is>
          <t>Grid 5 Track 7</t>
        </is>
      </c>
      <c r="E11" t="inlineStr">
        <is>
          <t>note</t>
        </is>
      </c>
      <c r="F11" s="71" t="n">
        <v>6</v>
      </c>
      <c r="G11" s="71" t="n">
        <v>1</v>
      </c>
      <c r="H11" t="inlineStr">
        <is>
          <t>N6/C1</t>
        </is>
      </c>
      <c r="I11" s="72" t="inlineStr">
        <is>
          <t>72057594037929616</t>
        </is>
      </c>
      <c r="J11" s="71" t="n">
        <v>53</v>
      </c>
      <c r="K11" s="60" t="inlineStr">
        <is>
          <t>#c81e9aff</t>
        </is>
      </c>
      <c r="L11" s="71" t="n">
        <v>2145</v>
      </c>
      <c r="M11" s="71" t="n">
        <v>1085</v>
      </c>
      <c r="N11" s="71" t="n">
        <v>10</v>
      </c>
      <c r="O11" s="71" t="n">
        <v>-68</v>
      </c>
      <c r="P11" s="71" t="n">
        <v>50</v>
      </c>
      <c r="Q11" t="inlineStr">
        <is>
          <t>N6/C1</t>
        </is>
      </c>
      <c r="R11" t="n">
        <v>1</v>
      </c>
      <c r="S11" t="inlineStr">
        <is>
          <t>button_connect</t>
        </is>
      </c>
      <c r="T11" t="inlineStr">
        <is>
          <t>PASS</t>
        </is>
      </c>
    </row>
    <row r="12">
      <c r="A12" s="71" t="n">
        <v>8</v>
      </c>
      <c r="B12" t="inlineStr">
        <is>
          <t>grid</t>
        </is>
      </c>
      <c r="C12" t="inlineStr">
        <is>
          <t>G8-5</t>
        </is>
      </c>
      <c r="D12" t="inlineStr">
        <is>
          <t>Grid 5 Track 8</t>
        </is>
      </c>
      <c r="E12" t="inlineStr">
        <is>
          <t>note</t>
        </is>
      </c>
      <c r="F12" s="71" t="n">
        <v>7</v>
      </c>
      <c r="G12" s="71" t="n">
        <v>1</v>
      </c>
      <c r="H12" t="inlineStr">
        <is>
          <t>N7/C1</t>
        </is>
      </c>
      <c r="I12" s="72" t="inlineStr">
        <is>
          <t>72057594037929872</t>
        </is>
      </c>
      <c r="J12" s="71" t="n">
        <v>3</v>
      </c>
      <c r="K12" s="63" t="inlineStr">
        <is>
          <t>#e6e6e6ff</t>
        </is>
      </c>
      <c r="L12" s="71" t="n">
        <v>2465</v>
      </c>
      <c r="M12" s="71" t="n">
        <v>1085</v>
      </c>
      <c r="N12" s="71" t="n">
        <v>140</v>
      </c>
      <c r="O12" s="71" t="n">
        <v>-68</v>
      </c>
      <c r="P12" s="71" t="n">
        <v>50</v>
      </c>
      <c r="Q12" t="inlineStr">
        <is>
          <t>N7/C1</t>
        </is>
      </c>
      <c r="R12" t="n">
        <v>1</v>
      </c>
      <c r="S12" t="inlineStr">
        <is>
          <t>button_connect</t>
        </is>
      </c>
      <c r="T12" t="inlineStr">
        <is>
          <t>PASS</t>
        </is>
      </c>
    </row>
    <row r="13">
      <c r="A13" s="71" t="n">
        <v>9</v>
      </c>
      <c r="B13" t="inlineStr">
        <is>
          <t>grid</t>
        </is>
      </c>
      <c r="C13" t="inlineStr">
        <is>
          <t>G1-4</t>
        </is>
      </c>
      <c r="D13" t="inlineStr">
        <is>
          <t>Grid 4 Track 1</t>
        </is>
      </c>
      <c r="E13" t="inlineStr">
        <is>
          <t>note</t>
        </is>
      </c>
      <c r="F13" s="71" t="n">
        <v>8</v>
      </c>
      <c r="G13" s="71" t="n">
        <v>1</v>
      </c>
      <c r="H13" t="inlineStr">
        <is>
          <t>N8/C1</t>
        </is>
      </c>
      <c r="I13" s="72" t="inlineStr">
        <is>
          <t>72057594037930128</t>
        </is>
      </c>
      <c r="J13" s="71" t="n">
        <v>45</v>
      </c>
      <c r="K13" s="42" t="inlineStr">
        <is>
          <t>#2b5bffff</t>
        </is>
      </c>
      <c r="L13" s="71" t="n">
        <v>225</v>
      </c>
      <c r="M13" s="71" t="n">
        <v>930</v>
      </c>
      <c r="N13" s="71" t="n">
        <v>-769</v>
      </c>
      <c r="O13" s="71" t="n">
        <v>-128</v>
      </c>
      <c r="P13" s="71" t="n">
        <v>50</v>
      </c>
      <c r="Q13" t="inlineStr">
        <is>
          <t>N8/C1</t>
        </is>
      </c>
      <c r="R13" t="n">
        <v>1</v>
      </c>
      <c r="S13" t="inlineStr">
        <is>
          <t>button_connect</t>
        </is>
      </c>
      <c r="T13" t="inlineStr">
        <is>
          <t>PASS</t>
        </is>
      </c>
    </row>
    <row r="14">
      <c r="A14" s="71" t="n">
        <v>10</v>
      </c>
      <c r="B14" t="inlineStr">
        <is>
          <t>grid</t>
        </is>
      </c>
      <c r="C14" t="inlineStr">
        <is>
          <t>G2-4</t>
        </is>
      </c>
      <c r="D14" t="inlineStr">
        <is>
          <t>Grid 4 Track 2</t>
        </is>
      </c>
      <c r="E14" t="inlineStr">
        <is>
          <t>note</t>
        </is>
      </c>
      <c r="F14" s="71" t="n">
        <v>9</v>
      </c>
      <c r="G14" s="71" t="n">
        <v>1</v>
      </c>
      <c r="H14" t="inlineStr">
        <is>
          <t>N9/C1</t>
        </is>
      </c>
      <c r="I14" s="72" t="inlineStr">
        <is>
          <t>72057594037930384</t>
        </is>
      </c>
      <c r="J14" s="71" t="n">
        <v>37</v>
      </c>
      <c r="K14" s="45" t="inlineStr">
        <is>
          <t>#17c8e8ff</t>
        </is>
      </c>
      <c r="L14" s="71" t="n">
        <v>545</v>
      </c>
      <c r="M14" s="71" t="n">
        <v>930</v>
      </c>
      <c r="N14" s="71" t="n">
        <v>-639</v>
      </c>
      <c r="O14" s="71" t="n">
        <v>-128</v>
      </c>
      <c r="P14" s="71" t="n">
        <v>50</v>
      </c>
      <c r="Q14" t="inlineStr">
        <is>
          <t>N9/C1</t>
        </is>
      </c>
      <c r="R14" t="n">
        <v>1</v>
      </c>
      <c r="S14" t="inlineStr">
        <is>
          <t>button_connect</t>
        </is>
      </c>
      <c r="T14" t="inlineStr">
        <is>
          <t>PASS</t>
        </is>
      </c>
    </row>
    <row r="15">
      <c r="A15" s="71" t="n">
        <v>11</v>
      </c>
      <c r="B15" t="inlineStr">
        <is>
          <t>grid</t>
        </is>
      </c>
      <c r="C15" t="inlineStr">
        <is>
          <t>G3-4</t>
        </is>
      </c>
      <c r="D15" t="inlineStr">
        <is>
          <t>Grid 4 Track 3</t>
        </is>
      </c>
      <c r="E15" t="inlineStr">
        <is>
          <t>note</t>
        </is>
      </c>
      <c r="F15" s="71" t="n">
        <v>10</v>
      </c>
      <c r="G15" s="71" t="n">
        <v>1</v>
      </c>
      <c r="H15" t="inlineStr">
        <is>
          <t>N10/C1</t>
        </is>
      </c>
      <c r="I15" s="72" t="inlineStr">
        <is>
          <t>72057594037930640</t>
        </is>
      </c>
      <c r="J15" s="71" t="n">
        <v>21</v>
      </c>
      <c r="K15" s="48" t="inlineStr">
        <is>
          <t>#23c552ff</t>
        </is>
      </c>
      <c r="L15" s="71" t="n">
        <v>865</v>
      </c>
      <c r="M15" s="71" t="n">
        <v>930</v>
      </c>
      <c r="N15" s="71" t="n">
        <v>-509</v>
      </c>
      <c r="O15" s="71" t="n">
        <v>-128</v>
      </c>
      <c r="P15" s="71" t="n">
        <v>50</v>
      </c>
      <c r="Q15" t="inlineStr">
        <is>
          <t>N10/C1</t>
        </is>
      </c>
      <c r="R15" t="n">
        <v>1</v>
      </c>
      <c r="S15" t="inlineStr">
        <is>
          <t>button_connect</t>
        </is>
      </c>
      <c r="T15" t="inlineStr">
        <is>
          <t>PASS</t>
        </is>
      </c>
    </row>
    <row r="16">
      <c r="A16" s="71" t="n">
        <v>12</v>
      </c>
      <c r="B16" t="inlineStr">
        <is>
          <t>grid</t>
        </is>
      </c>
      <c r="C16" t="inlineStr">
        <is>
          <t>G4-4</t>
        </is>
      </c>
      <c r="D16" t="inlineStr">
        <is>
          <t>Grid 4 Track 4</t>
        </is>
      </c>
      <c r="E16" t="inlineStr">
        <is>
          <t>note</t>
        </is>
      </c>
      <c r="F16" s="71" t="n">
        <v>11</v>
      </c>
      <c r="G16" s="71" t="n">
        <v>1</v>
      </c>
      <c r="H16" t="inlineStr">
        <is>
          <t>N11/C1</t>
        </is>
      </c>
      <c r="I16" s="72" t="inlineStr">
        <is>
          <t>72057594037930896</t>
        </is>
      </c>
      <c r="J16" s="71" t="n">
        <v>5</v>
      </c>
      <c r="K16" s="51" t="inlineStr">
        <is>
          <t>#e23b3bff</t>
        </is>
      </c>
      <c r="L16" s="71" t="n">
        <v>1185</v>
      </c>
      <c r="M16" s="71" t="n">
        <v>930</v>
      </c>
      <c r="N16" s="71" t="n">
        <v>-379</v>
      </c>
      <c r="O16" s="71" t="n">
        <v>-128</v>
      </c>
      <c r="P16" s="71" t="n">
        <v>50</v>
      </c>
      <c r="Q16" t="inlineStr">
        <is>
          <t>N11/C1</t>
        </is>
      </c>
      <c r="R16" t="n">
        <v>1</v>
      </c>
      <c r="S16" t="inlineStr">
        <is>
          <t>button_connect</t>
        </is>
      </c>
      <c r="T16" t="inlineStr">
        <is>
          <t>PASS</t>
        </is>
      </c>
    </row>
    <row r="17">
      <c r="A17" s="71" t="n">
        <v>13</v>
      </c>
      <c r="B17" t="inlineStr">
        <is>
          <t>grid</t>
        </is>
      </c>
      <c r="C17" t="inlineStr">
        <is>
          <t>G5-4</t>
        </is>
      </c>
      <c r="D17" t="inlineStr">
        <is>
          <t>Grid 4 Track 5</t>
        </is>
      </c>
      <c r="E17" t="inlineStr">
        <is>
          <t>note</t>
        </is>
      </c>
      <c r="F17" s="71" t="n">
        <v>12</v>
      </c>
      <c r="G17" s="71" t="n">
        <v>1</v>
      </c>
      <c r="H17" t="inlineStr">
        <is>
          <t>N12/C1</t>
        </is>
      </c>
      <c r="I17" s="72" t="inlineStr">
        <is>
          <t>72057594037931152</t>
        </is>
      </c>
      <c r="J17" s="71" t="n">
        <v>9</v>
      </c>
      <c r="K17" s="54" t="inlineStr">
        <is>
          <t>#f08a24ff</t>
        </is>
      </c>
      <c r="L17" s="71" t="n">
        <v>1505</v>
      </c>
      <c r="M17" s="71" t="n">
        <v>930</v>
      </c>
      <c r="N17" s="71" t="n">
        <v>-249</v>
      </c>
      <c r="O17" s="71" t="n">
        <v>-128</v>
      </c>
      <c r="P17" s="71" t="n">
        <v>50</v>
      </c>
      <c r="Q17" t="inlineStr">
        <is>
          <t>N12/C1</t>
        </is>
      </c>
      <c r="R17" t="n">
        <v>1</v>
      </c>
      <c r="S17" t="inlineStr">
        <is>
          <t>button_connect</t>
        </is>
      </c>
      <c r="T17" t="inlineStr">
        <is>
          <t>PASS</t>
        </is>
      </c>
    </row>
    <row r="18">
      <c r="A18" s="71" t="n">
        <v>14</v>
      </c>
      <c r="B18" t="inlineStr">
        <is>
          <t>grid</t>
        </is>
      </c>
      <c r="C18" t="inlineStr">
        <is>
          <t>G6-4</t>
        </is>
      </c>
      <c r="D18" t="inlineStr">
        <is>
          <t>Grid 4 Track 6</t>
        </is>
      </c>
      <c r="E18" t="inlineStr">
        <is>
          <t>note</t>
        </is>
      </c>
      <c r="F18" s="71" t="n">
        <v>13</v>
      </c>
      <c r="G18" s="71" t="n">
        <v>1</v>
      </c>
      <c r="H18" t="inlineStr">
        <is>
          <t>N13/C1</t>
        </is>
      </c>
      <c r="I18" s="72" t="inlineStr">
        <is>
          <t>72057594037931408</t>
        </is>
      </c>
      <c r="J18" s="71" t="n">
        <v>49</v>
      </c>
      <c r="K18" s="57" t="inlineStr">
        <is>
          <t>#7a3fc0ff</t>
        </is>
      </c>
      <c r="L18" s="71" t="n">
        <v>1825</v>
      </c>
      <c r="M18" s="71" t="n">
        <v>930</v>
      </c>
      <c r="N18" s="71" t="n">
        <v>-120</v>
      </c>
      <c r="O18" s="71" t="n">
        <v>-128</v>
      </c>
      <c r="P18" s="71" t="n">
        <v>50</v>
      </c>
      <c r="Q18" t="inlineStr">
        <is>
          <t>N13/C1</t>
        </is>
      </c>
      <c r="R18" t="n">
        <v>1</v>
      </c>
      <c r="S18" t="inlineStr">
        <is>
          <t>button_connect</t>
        </is>
      </c>
      <c r="T18" t="inlineStr">
        <is>
          <t>PASS</t>
        </is>
      </c>
    </row>
    <row r="19">
      <c r="A19" s="71" t="n">
        <v>15</v>
      </c>
      <c r="B19" t="inlineStr">
        <is>
          <t>grid</t>
        </is>
      </c>
      <c r="C19" t="inlineStr">
        <is>
          <t>G7-4</t>
        </is>
      </c>
      <c r="D19" t="inlineStr">
        <is>
          <t>Grid 4 Track 7</t>
        </is>
      </c>
      <c r="E19" t="inlineStr">
        <is>
          <t>note</t>
        </is>
      </c>
      <c r="F19" s="71" t="n">
        <v>14</v>
      </c>
      <c r="G19" s="71" t="n">
        <v>1</v>
      </c>
      <c r="H19" t="inlineStr">
        <is>
          <t>N14/C1</t>
        </is>
      </c>
      <c r="I19" s="72" t="inlineStr">
        <is>
          <t>72057594037931664</t>
        </is>
      </c>
      <c r="J19" s="71" t="n">
        <v>53</v>
      </c>
      <c r="K19" s="60" t="inlineStr">
        <is>
          <t>#c81e9aff</t>
        </is>
      </c>
      <c r="L19" s="71" t="n">
        <v>2145</v>
      </c>
      <c r="M19" s="71" t="n">
        <v>930</v>
      </c>
      <c r="N19" s="71" t="n">
        <v>10</v>
      </c>
      <c r="O19" s="71" t="n">
        <v>-128</v>
      </c>
      <c r="P19" s="71" t="n">
        <v>50</v>
      </c>
      <c r="Q19" t="inlineStr">
        <is>
          <t>N14/C1</t>
        </is>
      </c>
      <c r="R19" t="n">
        <v>1</v>
      </c>
      <c r="S19" t="inlineStr">
        <is>
          <t>button_connect</t>
        </is>
      </c>
      <c r="T19" t="inlineStr">
        <is>
          <t>PASS</t>
        </is>
      </c>
    </row>
    <row r="20">
      <c r="A20" s="71" t="n">
        <v>16</v>
      </c>
      <c r="B20" t="inlineStr">
        <is>
          <t>grid</t>
        </is>
      </c>
      <c r="C20" t="inlineStr">
        <is>
          <t>G8-4</t>
        </is>
      </c>
      <c r="D20" t="inlineStr">
        <is>
          <t>Grid 4 Track 8</t>
        </is>
      </c>
      <c r="E20" t="inlineStr">
        <is>
          <t>note</t>
        </is>
      </c>
      <c r="F20" s="71" t="n">
        <v>15</v>
      </c>
      <c r="G20" s="71" t="n">
        <v>1</v>
      </c>
      <c r="H20" t="inlineStr">
        <is>
          <t>N15/C1</t>
        </is>
      </c>
      <c r="I20" s="72" t="inlineStr">
        <is>
          <t>72057594037931920</t>
        </is>
      </c>
      <c r="J20" s="71" t="n">
        <v>3</v>
      </c>
      <c r="K20" s="63" t="inlineStr">
        <is>
          <t>#e6e6e6ff</t>
        </is>
      </c>
      <c r="L20" s="71" t="n">
        <v>2465</v>
      </c>
      <c r="M20" s="71" t="n">
        <v>930</v>
      </c>
      <c r="N20" s="71" t="n">
        <v>140</v>
      </c>
      <c r="O20" s="71" t="n">
        <v>-128</v>
      </c>
      <c r="P20" s="71" t="n">
        <v>50</v>
      </c>
      <c r="Q20" t="inlineStr">
        <is>
          <t>N15/C1</t>
        </is>
      </c>
      <c r="R20" t="n">
        <v>1</v>
      </c>
      <c r="S20" t="inlineStr">
        <is>
          <t>button_connect</t>
        </is>
      </c>
      <c r="T20" t="inlineStr">
        <is>
          <t>PASS</t>
        </is>
      </c>
    </row>
    <row r="21">
      <c r="A21" s="71" t="n">
        <v>17</v>
      </c>
      <c r="B21" t="inlineStr">
        <is>
          <t>grid</t>
        </is>
      </c>
      <c r="C21" t="inlineStr">
        <is>
          <t>G1-3</t>
        </is>
      </c>
      <c r="D21" t="inlineStr">
        <is>
          <t>Grid 3 Track 1</t>
        </is>
      </c>
      <c r="E21" t="inlineStr">
        <is>
          <t>note</t>
        </is>
      </c>
      <c r="F21" s="71" t="n">
        <v>16</v>
      </c>
      <c r="G21" s="71" t="n">
        <v>1</v>
      </c>
      <c r="H21" t="inlineStr">
        <is>
          <t>N16/C1</t>
        </is>
      </c>
      <c r="I21" s="72" t="inlineStr">
        <is>
          <t>72057594037932176</t>
        </is>
      </c>
      <c r="J21" s="71" t="n">
        <v>45</v>
      </c>
      <c r="K21" s="42" t="inlineStr">
        <is>
          <t>#2b5bffff</t>
        </is>
      </c>
      <c r="L21" s="71" t="n">
        <v>225</v>
      </c>
      <c r="M21" s="71" t="n">
        <v>775</v>
      </c>
      <c r="N21" s="71" t="n">
        <v>-769</v>
      </c>
      <c r="O21" s="71" t="n">
        <v>-189</v>
      </c>
      <c r="P21" s="71" t="n">
        <v>50</v>
      </c>
      <c r="Q21" t="inlineStr">
        <is>
          <t>N16/C1</t>
        </is>
      </c>
      <c r="R21" t="n">
        <v>1</v>
      </c>
      <c r="S21" t="inlineStr">
        <is>
          <t>button_connect</t>
        </is>
      </c>
      <c r="T21" t="inlineStr">
        <is>
          <t>PASS</t>
        </is>
      </c>
    </row>
    <row r="22">
      <c r="A22" s="71" t="n">
        <v>18</v>
      </c>
      <c r="B22" t="inlineStr">
        <is>
          <t>grid</t>
        </is>
      </c>
      <c r="C22" t="inlineStr">
        <is>
          <t>G2-3</t>
        </is>
      </c>
      <c r="D22" t="inlineStr">
        <is>
          <t>Grid 3 Track 2</t>
        </is>
      </c>
      <c r="E22" t="inlineStr">
        <is>
          <t>note</t>
        </is>
      </c>
      <c r="F22" s="71" t="n">
        <v>17</v>
      </c>
      <c r="G22" s="71" t="n">
        <v>1</v>
      </c>
      <c r="H22" t="inlineStr">
        <is>
          <t>N17/C1</t>
        </is>
      </c>
      <c r="I22" s="72" t="inlineStr">
        <is>
          <t>72057594037932432</t>
        </is>
      </c>
      <c r="J22" s="71" t="n">
        <v>37</v>
      </c>
      <c r="K22" s="45" t="inlineStr">
        <is>
          <t>#17c8e8ff</t>
        </is>
      </c>
      <c r="L22" s="71" t="n">
        <v>545</v>
      </c>
      <c r="M22" s="71" t="n">
        <v>775</v>
      </c>
      <c r="N22" s="71" t="n">
        <v>-639</v>
      </c>
      <c r="O22" s="71" t="n">
        <v>-189</v>
      </c>
      <c r="P22" s="71" t="n">
        <v>50</v>
      </c>
      <c r="Q22" t="inlineStr">
        <is>
          <t>N17/C1</t>
        </is>
      </c>
      <c r="R22" t="n">
        <v>1</v>
      </c>
      <c r="S22" t="inlineStr">
        <is>
          <t>button_connect</t>
        </is>
      </c>
      <c r="T22" t="inlineStr">
        <is>
          <t>PASS</t>
        </is>
      </c>
    </row>
    <row r="23">
      <c r="A23" s="71" t="n">
        <v>19</v>
      </c>
      <c r="B23" t="inlineStr">
        <is>
          <t>grid</t>
        </is>
      </c>
      <c r="C23" t="inlineStr">
        <is>
          <t>G3-3</t>
        </is>
      </c>
      <c r="D23" t="inlineStr">
        <is>
          <t>Grid 3 Track 3</t>
        </is>
      </c>
      <c r="E23" t="inlineStr">
        <is>
          <t>note</t>
        </is>
      </c>
      <c r="F23" s="71" t="n">
        <v>18</v>
      </c>
      <c r="G23" s="71" t="n">
        <v>1</v>
      </c>
      <c r="H23" t="inlineStr">
        <is>
          <t>N18/C1</t>
        </is>
      </c>
      <c r="I23" s="72" t="inlineStr">
        <is>
          <t>72057594037932688</t>
        </is>
      </c>
      <c r="J23" s="71" t="n">
        <v>21</v>
      </c>
      <c r="K23" s="48" t="inlineStr">
        <is>
          <t>#23c552ff</t>
        </is>
      </c>
      <c r="L23" s="71" t="n">
        <v>865</v>
      </c>
      <c r="M23" s="71" t="n">
        <v>775</v>
      </c>
      <c r="N23" s="71" t="n">
        <v>-509</v>
      </c>
      <c r="O23" s="71" t="n">
        <v>-189</v>
      </c>
      <c r="P23" s="71" t="n">
        <v>50</v>
      </c>
      <c r="Q23" t="inlineStr">
        <is>
          <t>N18/C1</t>
        </is>
      </c>
      <c r="R23" t="n">
        <v>1</v>
      </c>
      <c r="S23" t="inlineStr">
        <is>
          <t>button_connect</t>
        </is>
      </c>
      <c r="T23" t="inlineStr">
        <is>
          <t>PASS</t>
        </is>
      </c>
    </row>
    <row r="24">
      <c r="A24" s="71" t="n">
        <v>20</v>
      </c>
      <c r="B24" t="inlineStr">
        <is>
          <t>grid</t>
        </is>
      </c>
      <c r="C24" t="inlineStr">
        <is>
          <t>G4-3</t>
        </is>
      </c>
      <c r="D24" t="inlineStr">
        <is>
          <t>Grid 3 Track 4</t>
        </is>
      </c>
      <c r="E24" t="inlineStr">
        <is>
          <t>note</t>
        </is>
      </c>
      <c r="F24" s="71" t="n">
        <v>19</v>
      </c>
      <c r="G24" s="71" t="n">
        <v>1</v>
      </c>
      <c r="H24" t="inlineStr">
        <is>
          <t>N19/C1</t>
        </is>
      </c>
      <c r="I24" s="72" t="inlineStr">
        <is>
          <t>72057594037932944</t>
        </is>
      </c>
      <c r="J24" s="71" t="n">
        <v>5</v>
      </c>
      <c r="K24" s="51" t="inlineStr">
        <is>
          <t>#e23b3bff</t>
        </is>
      </c>
      <c r="L24" s="71" t="n">
        <v>1185</v>
      </c>
      <c r="M24" s="71" t="n">
        <v>775</v>
      </c>
      <c r="N24" s="71" t="n">
        <v>-379</v>
      </c>
      <c r="O24" s="71" t="n">
        <v>-189</v>
      </c>
      <c r="P24" s="71" t="n">
        <v>50</v>
      </c>
      <c r="Q24" t="inlineStr">
        <is>
          <t>N19/C1</t>
        </is>
      </c>
      <c r="R24" t="n">
        <v>1</v>
      </c>
      <c r="S24" t="inlineStr">
        <is>
          <t>button_connect</t>
        </is>
      </c>
      <c r="T24" t="inlineStr">
        <is>
          <t>PASS</t>
        </is>
      </c>
    </row>
    <row r="25">
      <c r="A25" s="71" t="n">
        <v>21</v>
      </c>
      <c r="B25" t="inlineStr">
        <is>
          <t>grid</t>
        </is>
      </c>
      <c r="C25" t="inlineStr">
        <is>
          <t>G5-3</t>
        </is>
      </c>
      <c r="D25" t="inlineStr">
        <is>
          <t>Grid 3 Track 5</t>
        </is>
      </c>
      <c r="E25" t="inlineStr">
        <is>
          <t>note</t>
        </is>
      </c>
      <c r="F25" s="71" t="n">
        <v>20</v>
      </c>
      <c r="G25" s="71" t="n">
        <v>1</v>
      </c>
      <c r="H25" t="inlineStr">
        <is>
          <t>N20/C1</t>
        </is>
      </c>
      <c r="I25" s="72" t="inlineStr">
        <is>
          <t>72057594037933200</t>
        </is>
      </c>
      <c r="J25" s="71" t="n">
        <v>9</v>
      </c>
      <c r="K25" s="54" t="inlineStr">
        <is>
          <t>#f08a24ff</t>
        </is>
      </c>
      <c r="L25" s="71" t="n">
        <v>1505</v>
      </c>
      <c r="M25" s="71" t="n">
        <v>775</v>
      </c>
      <c r="N25" s="71" t="n">
        <v>-249</v>
      </c>
      <c r="O25" s="71" t="n">
        <v>-189</v>
      </c>
      <c r="P25" s="71" t="n">
        <v>50</v>
      </c>
      <c r="Q25" t="inlineStr">
        <is>
          <t>N20/C1</t>
        </is>
      </c>
      <c r="R25" t="n">
        <v>1</v>
      </c>
      <c r="S25" t="inlineStr">
        <is>
          <t>button_connect</t>
        </is>
      </c>
      <c r="T25" t="inlineStr">
        <is>
          <t>PASS</t>
        </is>
      </c>
    </row>
    <row r="26">
      <c r="A26" s="71" t="n">
        <v>22</v>
      </c>
      <c r="B26" t="inlineStr">
        <is>
          <t>grid</t>
        </is>
      </c>
      <c r="C26" t="inlineStr">
        <is>
          <t>G6-3</t>
        </is>
      </c>
      <c r="D26" t="inlineStr">
        <is>
          <t>Grid 3 Track 6</t>
        </is>
      </c>
      <c r="E26" t="inlineStr">
        <is>
          <t>note</t>
        </is>
      </c>
      <c r="F26" s="71" t="n">
        <v>21</v>
      </c>
      <c r="G26" s="71" t="n">
        <v>1</v>
      </c>
      <c r="H26" t="inlineStr">
        <is>
          <t>N21/C1</t>
        </is>
      </c>
      <c r="I26" s="72" t="inlineStr">
        <is>
          <t>72057594037933456</t>
        </is>
      </c>
      <c r="J26" s="71" t="n">
        <v>49</v>
      </c>
      <c r="K26" s="57" t="inlineStr">
        <is>
          <t>#7a3fc0ff</t>
        </is>
      </c>
      <c r="L26" s="71" t="n">
        <v>1825</v>
      </c>
      <c r="M26" s="71" t="n">
        <v>775</v>
      </c>
      <c r="N26" s="71" t="n">
        <v>-120</v>
      </c>
      <c r="O26" s="71" t="n">
        <v>-189</v>
      </c>
      <c r="P26" s="71" t="n">
        <v>50</v>
      </c>
      <c r="Q26" t="inlineStr">
        <is>
          <t>N21/C1</t>
        </is>
      </c>
      <c r="R26" t="n">
        <v>1</v>
      </c>
      <c r="S26" t="inlineStr">
        <is>
          <t>button_connect</t>
        </is>
      </c>
      <c r="T26" t="inlineStr">
        <is>
          <t>PASS</t>
        </is>
      </c>
    </row>
    <row r="27">
      <c r="A27" s="71" t="n">
        <v>23</v>
      </c>
      <c r="B27" t="inlineStr">
        <is>
          <t>grid</t>
        </is>
      </c>
      <c r="C27" t="inlineStr">
        <is>
          <t>G7-3</t>
        </is>
      </c>
      <c r="D27" t="inlineStr">
        <is>
          <t>Grid 3 Track 7</t>
        </is>
      </c>
      <c r="E27" t="inlineStr">
        <is>
          <t>note</t>
        </is>
      </c>
      <c r="F27" s="71" t="n">
        <v>22</v>
      </c>
      <c r="G27" s="71" t="n">
        <v>1</v>
      </c>
      <c r="H27" t="inlineStr">
        <is>
          <t>N22/C1</t>
        </is>
      </c>
      <c r="I27" s="72" t="inlineStr">
        <is>
          <t>72057594037933712</t>
        </is>
      </c>
      <c r="J27" s="71" t="n">
        <v>53</v>
      </c>
      <c r="K27" s="60" t="inlineStr">
        <is>
          <t>#c81e9aff</t>
        </is>
      </c>
      <c r="L27" s="71" t="n">
        <v>2145</v>
      </c>
      <c r="M27" s="71" t="n">
        <v>775</v>
      </c>
      <c r="N27" s="71" t="n">
        <v>10</v>
      </c>
      <c r="O27" s="71" t="n">
        <v>-189</v>
      </c>
      <c r="P27" s="71" t="n">
        <v>50</v>
      </c>
      <c r="Q27" t="inlineStr">
        <is>
          <t>N22/C1</t>
        </is>
      </c>
      <c r="R27" t="n">
        <v>1</v>
      </c>
      <c r="S27" t="inlineStr">
        <is>
          <t>button_connect</t>
        </is>
      </c>
      <c r="T27" t="inlineStr">
        <is>
          <t>PASS</t>
        </is>
      </c>
    </row>
    <row r="28">
      <c r="A28" s="71" t="n">
        <v>24</v>
      </c>
      <c r="B28" t="inlineStr">
        <is>
          <t>grid</t>
        </is>
      </c>
      <c r="C28" t="inlineStr">
        <is>
          <t>G8-3</t>
        </is>
      </c>
      <c r="D28" t="inlineStr">
        <is>
          <t>Grid 3 Track 8</t>
        </is>
      </c>
      <c r="E28" t="inlineStr">
        <is>
          <t>note</t>
        </is>
      </c>
      <c r="F28" s="71" t="n">
        <v>23</v>
      </c>
      <c r="G28" s="71" t="n">
        <v>1</v>
      </c>
      <c r="H28" t="inlineStr">
        <is>
          <t>N23/C1</t>
        </is>
      </c>
      <c r="I28" s="72" t="inlineStr">
        <is>
          <t>72057594037933968</t>
        </is>
      </c>
      <c r="J28" s="71" t="n">
        <v>3</v>
      </c>
      <c r="K28" s="63" t="inlineStr">
        <is>
          <t>#e6e6e6ff</t>
        </is>
      </c>
      <c r="L28" s="71" t="n">
        <v>2465</v>
      </c>
      <c r="M28" s="71" t="n">
        <v>775</v>
      </c>
      <c r="N28" s="71" t="n">
        <v>140</v>
      </c>
      <c r="O28" s="71" t="n">
        <v>-189</v>
      </c>
      <c r="P28" s="71" t="n">
        <v>50</v>
      </c>
      <c r="Q28" t="inlineStr">
        <is>
          <t>N23/C1</t>
        </is>
      </c>
      <c r="R28" t="n">
        <v>1</v>
      </c>
      <c r="S28" t="inlineStr">
        <is>
          <t>button_connect</t>
        </is>
      </c>
      <c r="T28" t="inlineStr">
        <is>
          <t>PASS</t>
        </is>
      </c>
    </row>
    <row r="29">
      <c r="A29" s="71" t="n">
        <v>25</v>
      </c>
      <c r="B29" t="inlineStr">
        <is>
          <t>grid</t>
        </is>
      </c>
      <c r="C29" t="inlineStr">
        <is>
          <t>G1-2</t>
        </is>
      </c>
      <c r="D29" t="inlineStr">
        <is>
          <t>Grid 2 Track 1</t>
        </is>
      </c>
      <c r="E29" t="inlineStr">
        <is>
          <t>note</t>
        </is>
      </c>
      <c r="F29" s="71" t="n">
        <v>24</v>
      </c>
      <c r="G29" s="71" t="n">
        <v>1</v>
      </c>
      <c r="H29" t="inlineStr">
        <is>
          <t>N24/C1</t>
        </is>
      </c>
      <c r="I29" s="72" t="inlineStr">
        <is>
          <t>72057594037934224</t>
        </is>
      </c>
      <c r="J29" s="71" t="n">
        <v>45</v>
      </c>
      <c r="K29" s="42" t="inlineStr">
        <is>
          <t>#2b5bffff</t>
        </is>
      </c>
      <c r="L29" s="71" t="n">
        <v>225</v>
      </c>
      <c r="M29" s="71" t="n">
        <v>620</v>
      </c>
      <c r="N29" s="71" t="n">
        <v>-769</v>
      </c>
      <c r="O29" s="71" t="n">
        <v>-249</v>
      </c>
      <c r="P29" s="71" t="n">
        <v>50</v>
      </c>
      <c r="Q29" t="inlineStr">
        <is>
          <t>N24/C1</t>
        </is>
      </c>
      <c r="R29" t="n">
        <v>1</v>
      </c>
      <c r="S29" t="inlineStr">
        <is>
          <t>button_connect</t>
        </is>
      </c>
      <c r="T29" t="inlineStr">
        <is>
          <t>PASS</t>
        </is>
      </c>
    </row>
    <row r="30">
      <c r="A30" s="71" t="n">
        <v>26</v>
      </c>
      <c r="B30" t="inlineStr">
        <is>
          <t>grid</t>
        </is>
      </c>
      <c r="C30" t="inlineStr">
        <is>
          <t>G2-2</t>
        </is>
      </c>
      <c r="D30" t="inlineStr">
        <is>
          <t>Grid 2 Track 2</t>
        </is>
      </c>
      <c r="E30" t="inlineStr">
        <is>
          <t>note</t>
        </is>
      </c>
      <c r="F30" s="71" t="n">
        <v>25</v>
      </c>
      <c r="G30" s="71" t="n">
        <v>1</v>
      </c>
      <c r="H30" t="inlineStr">
        <is>
          <t>N25/C1</t>
        </is>
      </c>
      <c r="I30" s="72" t="inlineStr">
        <is>
          <t>72057594037934480</t>
        </is>
      </c>
      <c r="J30" s="71" t="n">
        <v>37</v>
      </c>
      <c r="K30" s="45" t="inlineStr">
        <is>
          <t>#17c8e8ff</t>
        </is>
      </c>
      <c r="L30" s="71" t="n">
        <v>545</v>
      </c>
      <c r="M30" s="71" t="n">
        <v>620</v>
      </c>
      <c r="N30" s="71" t="n">
        <v>-639</v>
      </c>
      <c r="O30" s="71" t="n">
        <v>-249</v>
      </c>
      <c r="P30" s="71" t="n">
        <v>50</v>
      </c>
      <c r="Q30" t="inlineStr">
        <is>
          <t>N25/C1</t>
        </is>
      </c>
      <c r="R30" t="n">
        <v>1</v>
      </c>
      <c r="S30" t="inlineStr">
        <is>
          <t>button_connect</t>
        </is>
      </c>
      <c r="T30" t="inlineStr">
        <is>
          <t>PASS</t>
        </is>
      </c>
    </row>
    <row r="31">
      <c r="A31" s="71" t="n">
        <v>27</v>
      </c>
      <c r="B31" t="inlineStr">
        <is>
          <t>grid</t>
        </is>
      </c>
      <c r="C31" t="inlineStr">
        <is>
          <t>G3-2</t>
        </is>
      </c>
      <c r="D31" t="inlineStr">
        <is>
          <t>Grid 2 Track 3</t>
        </is>
      </c>
      <c r="E31" t="inlineStr">
        <is>
          <t>note</t>
        </is>
      </c>
      <c r="F31" s="71" t="n">
        <v>26</v>
      </c>
      <c r="G31" s="71" t="n">
        <v>1</v>
      </c>
      <c r="H31" t="inlineStr">
        <is>
          <t>N26/C1</t>
        </is>
      </c>
      <c r="I31" s="72" t="inlineStr">
        <is>
          <t>72057594037934736</t>
        </is>
      </c>
      <c r="J31" s="71" t="n">
        <v>21</v>
      </c>
      <c r="K31" s="48" t="inlineStr">
        <is>
          <t>#23c552ff</t>
        </is>
      </c>
      <c r="L31" s="71" t="n">
        <v>865</v>
      </c>
      <c r="M31" s="71" t="n">
        <v>620</v>
      </c>
      <c r="N31" s="71" t="n">
        <v>-509</v>
      </c>
      <c r="O31" s="71" t="n">
        <v>-249</v>
      </c>
      <c r="P31" s="71" t="n">
        <v>50</v>
      </c>
      <c r="Q31" t="inlineStr">
        <is>
          <t>N26/C1</t>
        </is>
      </c>
      <c r="R31" t="n">
        <v>1</v>
      </c>
      <c r="S31" t="inlineStr">
        <is>
          <t>button_connect</t>
        </is>
      </c>
      <c r="T31" t="inlineStr">
        <is>
          <t>PASS</t>
        </is>
      </c>
    </row>
    <row r="32">
      <c r="A32" s="71" t="n">
        <v>28</v>
      </c>
      <c r="B32" t="inlineStr">
        <is>
          <t>grid</t>
        </is>
      </c>
      <c r="C32" t="inlineStr">
        <is>
          <t>G4-2</t>
        </is>
      </c>
      <c r="D32" t="inlineStr">
        <is>
          <t>Grid 2 Track 4</t>
        </is>
      </c>
      <c r="E32" t="inlineStr">
        <is>
          <t>note</t>
        </is>
      </c>
      <c r="F32" s="71" t="n">
        <v>27</v>
      </c>
      <c r="G32" s="71" t="n">
        <v>1</v>
      </c>
      <c r="H32" t="inlineStr">
        <is>
          <t>N27/C1</t>
        </is>
      </c>
      <c r="I32" s="72" t="inlineStr">
        <is>
          <t>72057594037934992</t>
        </is>
      </c>
      <c r="J32" s="71" t="n">
        <v>5</v>
      </c>
      <c r="K32" s="51" t="inlineStr">
        <is>
          <t>#e23b3bff</t>
        </is>
      </c>
      <c r="L32" s="71" t="n">
        <v>1185</v>
      </c>
      <c r="M32" s="71" t="n">
        <v>620</v>
      </c>
      <c r="N32" s="71" t="n">
        <v>-379</v>
      </c>
      <c r="O32" s="71" t="n">
        <v>-249</v>
      </c>
      <c r="P32" s="71" t="n">
        <v>50</v>
      </c>
      <c r="Q32" t="inlineStr">
        <is>
          <t>N27/C1</t>
        </is>
      </c>
      <c r="R32" t="n">
        <v>1</v>
      </c>
      <c r="S32" t="inlineStr">
        <is>
          <t>button_connect</t>
        </is>
      </c>
      <c r="T32" t="inlineStr">
        <is>
          <t>PASS</t>
        </is>
      </c>
    </row>
    <row r="33">
      <c r="A33" s="71" t="n">
        <v>29</v>
      </c>
      <c r="B33" t="inlineStr">
        <is>
          <t>grid</t>
        </is>
      </c>
      <c r="C33" t="inlineStr">
        <is>
          <t>G5-2</t>
        </is>
      </c>
      <c r="D33" t="inlineStr">
        <is>
          <t>Grid 2 Track 5</t>
        </is>
      </c>
      <c r="E33" t="inlineStr">
        <is>
          <t>note</t>
        </is>
      </c>
      <c r="F33" s="71" t="n">
        <v>28</v>
      </c>
      <c r="G33" s="71" t="n">
        <v>1</v>
      </c>
      <c r="H33" t="inlineStr">
        <is>
          <t>N28/C1</t>
        </is>
      </c>
      <c r="I33" s="72" t="inlineStr">
        <is>
          <t>72057594037935248</t>
        </is>
      </c>
      <c r="J33" s="71" t="n">
        <v>9</v>
      </c>
      <c r="K33" s="54" t="inlineStr">
        <is>
          <t>#f08a24ff</t>
        </is>
      </c>
      <c r="L33" s="71" t="n">
        <v>1505</v>
      </c>
      <c r="M33" s="71" t="n">
        <v>620</v>
      </c>
      <c r="N33" s="71" t="n">
        <v>-249</v>
      </c>
      <c r="O33" s="71" t="n">
        <v>-249</v>
      </c>
      <c r="P33" s="71" t="n">
        <v>50</v>
      </c>
      <c r="Q33" t="inlineStr">
        <is>
          <t>N28/C1</t>
        </is>
      </c>
      <c r="R33" t="n">
        <v>1</v>
      </c>
      <c r="S33" t="inlineStr">
        <is>
          <t>button_connect</t>
        </is>
      </c>
      <c r="T33" t="inlineStr">
        <is>
          <t>PASS</t>
        </is>
      </c>
    </row>
    <row r="34">
      <c r="A34" s="71" t="n">
        <v>30</v>
      </c>
      <c r="B34" t="inlineStr">
        <is>
          <t>grid</t>
        </is>
      </c>
      <c r="C34" t="inlineStr">
        <is>
          <t>G6-2</t>
        </is>
      </c>
      <c r="D34" t="inlineStr">
        <is>
          <t>Grid 2 Track 6</t>
        </is>
      </c>
      <c r="E34" t="inlineStr">
        <is>
          <t>note</t>
        </is>
      </c>
      <c r="F34" s="71" t="n">
        <v>29</v>
      </c>
      <c r="G34" s="71" t="n">
        <v>1</v>
      </c>
      <c r="H34" t="inlineStr">
        <is>
          <t>N29/C1</t>
        </is>
      </c>
      <c r="I34" s="72" t="inlineStr">
        <is>
          <t>72057594037935504</t>
        </is>
      </c>
      <c r="J34" s="71" t="n">
        <v>49</v>
      </c>
      <c r="K34" s="57" t="inlineStr">
        <is>
          <t>#7a3fc0ff</t>
        </is>
      </c>
      <c r="L34" s="71" t="n">
        <v>1825</v>
      </c>
      <c r="M34" s="71" t="n">
        <v>620</v>
      </c>
      <c r="N34" s="71" t="n">
        <v>-120</v>
      </c>
      <c r="O34" s="71" t="n">
        <v>-249</v>
      </c>
      <c r="P34" s="71" t="n">
        <v>50</v>
      </c>
      <c r="Q34" t="inlineStr">
        <is>
          <t>N29/C1</t>
        </is>
      </c>
      <c r="R34" t="n">
        <v>1</v>
      </c>
      <c r="S34" t="inlineStr">
        <is>
          <t>button_connect</t>
        </is>
      </c>
      <c r="T34" t="inlineStr">
        <is>
          <t>PASS</t>
        </is>
      </c>
    </row>
    <row r="35">
      <c r="A35" s="71" t="n">
        <v>31</v>
      </c>
      <c r="B35" t="inlineStr">
        <is>
          <t>grid</t>
        </is>
      </c>
      <c r="C35" t="inlineStr">
        <is>
          <t>G7-2</t>
        </is>
      </c>
      <c r="D35" t="inlineStr">
        <is>
          <t>Grid 2 Track 7</t>
        </is>
      </c>
      <c r="E35" t="inlineStr">
        <is>
          <t>note</t>
        </is>
      </c>
      <c r="F35" s="71" t="n">
        <v>30</v>
      </c>
      <c r="G35" s="71" t="n">
        <v>1</v>
      </c>
      <c r="H35" t="inlineStr">
        <is>
          <t>N30/C1</t>
        </is>
      </c>
      <c r="I35" s="72" t="inlineStr">
        <is>
          <t>72057594037935760</t>
        </is>
      </c>
      <c r="J35" s="71" t="n">
        <v>53</v>
      </c>
      <c r="K35" s="60" t="inlineStr">
        <is>
          <t>#c81e9aff</t>
        </is>
      </c>
      <c r="L35" s="71" t="n">
        <v>2145</v>
      </c>
      <c r="M35" s="71" t="n">
        <v>620</v>
      </c>
      <c r="N35" s="71" t="n">
        <v>10</v>
      </c>
      <c r="O35" s="71" t="n">
        <v>-249</v>
      </c>
      <c r="P35" s="71" t="n">
        <v>50</v>
      </c>
      <c r="Q35" t="inlineStr">
        <is>
          <t>N30/C1</t>
        </is>
      </c>
      <c r="R35" t="n">
        <v>1</v>
      </c>
      <c r="S35" t="inlineStr">
        <is>
          <t>button_connect</t>
        </is>
      </c>
      <c r="T35" t="inlineStr">
        <is>
          <t>PASS</t>
        </is>
      </c>
    </row>
    <row r="36">
      <c r="A36" s="71" t="n">
        <v>32</v>
      </c>
      <c r="B36" t="inlineStr">
        <is>
          <t>grid</t>
        </is>
      </c>
      <c r="C36" t="inlineStr">
        <is>
          <t>G8-2</t>
        </is>
      </c>
      <c r="D36" t="inlineStr">
        <is>
          <t>Grid 2 Track 8</t>
        </is>
      </c>
      <c r="E36" t="inlineStr">
        <is>
          <t>note</t>
        </is>
      </c>
      <c r="F36" s="71" t="n">
        <v>31</v>
      </c>
      <c r="G36" s="71" t="n">
        <v>1</v>
      </c>
      <c r="H36" t="inlineStr">
        <is>
          <t>N31/C1</t>
        </is>
      </c>
      <c r="I36" s="72" t="inlineStr">
        <is>
          <t>72057594037936016</t>
        </is>
      </c>
      <c r="J36" s="71" t="n">
        <v>3</v>
      </c>
      <c r="K36" s="63" t="inlineStr">
        <is>
          <t>#e6e6e6ff</t>
        </is>
      </c>
      <c r="L36" s="71" t="n">
        <v>2465</v>
      </c>
      <c r="M36" s="71" t="n">
        <v>620</v>
      </c>
      <c r="N36" s="71" t="n">
        <v>140</v>
      </c>
      <c r="O36" s="71" t="n">
        <v>-249</v>
      </c>
      <c r="P36" s="71" t="n">
        <v>50</v>
      </c>
      <c r="Q36" t="inlineStr">
        <is>
          <t>N31/C1</t>
        </is>
      </c>
      <c r="R36" t="n">
        <v>1</v>
      </c>
      <c r="S36" t="inlineStr">
        <is>
          <t>button_connect</t>
        </is>
      </c>
      <c r="T36" t="inlineStr">
        <is>
          <t>PASS</t>
        </is>
      </c>
    </row>
    <row r="37">
      <c r="A37" s="71" t="n">
        <v>33</v>
      </c>
      <c r="B37" t="inlineStr">
        <is>
          <t>grid</t>
        </is>
      </c>
      <c r="C37" t="inlineStr">
        <is>
          <t>G1-1</t>
        </is>
      </c>
      <c r="D37" t="inlineStr">
        <is>
          <t>Grid 1 Track 1</t>
        </is>
      </c>
      <c r="E37" t="inlineStr">
        <is>
          <t>note</t>
        </is>
      </c>
      <c r="F37" s="71" t="n">
        <v>32</v>
      </c>
      <c r="G37" s="71" t="n">
        <v>1</v>
      </c>
      <c r="H37" t="inlineStr">
        <is>
          <t>N32/C1</t>
        </is>
      </c>
      <c r="I37" s="72" t="inlineStr">
        <is>
          <t>72057594037936272</t>
        </is>
      </c>
      <c r="J37" s="71" t="n">
        <v>45</v>
      </c>
      <c r="K37" s="42" t="inlineStr">
        <is>
          <t>#2b5bffff</t>
        </is>
      </c>
      <c r="L37" s="71" t="n">
        <v>225</v>
      </c>
      <c r="M37" s="71" t="n">
        <v>465</v>
      </c>
      <c r="N37" s="71" t="n">
        <v>-769</v>
      </c>
      <c r="O37" s="71" t="n">
        <v>-309</v>
      </c>
      <c r="P37" s="71" t="n">
        <v>50</v>
      </c>
      <c r="Q37" t="inlineStr">
        <is>
          <t>N32/C1</t>
        </is>
      </c>
      <c r="R37" t="n">
        <v>1</v>
      </c>
      <c r="S37" t="inlineStr">
        <is>
          <t>button_connect</t>
        </is>
      </c>
      <c r="T37" t="inlineStr">
        <is>
          <t>PASS</t>
        </is>
      </c>
    </row>
    <row r="38">
      <c r="A38" s="71" t="n">
        <v>34</v>
      </c>
      <c r="B38" t="inlineStr">
        <is>
          <t>grid</t>
        </is>
      </c>
      <c r="C38" t="inlineStr">
        <is>
          <t>G2-1</t>
        </is>
      </c>
      <c r="D38" t="inlineStr">
        <is>
          <t>Grid 1 Track 2</t>
        </is>
      </c>
      <c r="E38" t="inlineStr">
        <is>
          <t>note</t>
        </is>
      </c>
      <c r="F38" s="71" t="n">
        <v>33</v>
      </c>
      <c r="G38" s="71" t="n">
        <v>1</v>
      </c>
      <c r="H38" t="inlineStr">
        <is>
          <t>N33/C1</t>
        </is>
      </c>
      <c r="I38" s="72" t="inlineStr">
        <is>
          <t>72057594037936528</t>
        </is>
      </c>
      <c r="J38" s="71" t="n">
        <v>37</v>
      </c>
      <c r="K38" s="45" t="inlineStr">
        <is>
          <t>#17c8e8ff</t>
        </is>
      </c>
      <c r="L38" s="71" t="n">
        <v>545</v>
      </c>
      <c r="M38" s="71" t="n">
        <v>465</v>
      </c>
      <c r="N38" s="71" t="n">
        <v>-639</v>
      </c>
      <c r="O38" s="71" t="n">
        <v>-309</v>
      </c>
      <c r="P38" s="71" t="n">
        <v>50</v>
      </c>
      <c r="Q38" t="inlineStr">
        <is>
          <t>N33/C1</t>
        </is>
      </c>
      <c r="R38" t="n">
        <v>1</v>
      </c>
      <c r="S38" t="inlineStr">
        <is>
          <t>button_connect</t>
        </is>
      </c>
      <c r="T38" t="inlineStr">
        <is>
          <t>PASS</t>
        </is>
      </c>
    </row>
    <row r="39">
      <c r="A39" s="71" t="n">
        <v>35</v>
      </c>
      <c r="B39" t="inlineStr">
        <is>
          <t>grid</t>
        </is>
      </c>
      <c r="C39" t="inlineStr">
        <is>
          <t>G3-1</t>
        </is>
      </c>
      <c r="D39" t="inlineStr">
        <is>
          <t>Grid 1 Track 3</t>
        </is>
      </c>
      <c r="E39" t="inlineStr">
        <is>
          <t>note</t>
        </is>
      </c>
      <c r="F39" s="71" t="n">
        <v>34</v>
      </c>
      <c r="G39" s="71" t="n">
        <v>1</v>
      </c>
      <c r="H39" t="inlineStr">
        <is>
          <t>N34/C1</t>
        </is>
      </c>
      <c r="I39" s="72" t="inlineStr">
        <is>
          <t>72057594037936784</t>
        </is>
      </c>
      <c r="J39" s="71" t="n">
        <v>21</v>
      </c>
      <c r="K39" s="48" t="inlineStr">
        <is>
          <t>#23c552ff</t>
        </is>
      </c>
      <c r="L39" s="71" t="n">
        <v>865</v>
      </c>
      <c r="M39" s="71" t="n">
        <v>465</v>
      </c>
      <c r="N39" s="71" t="n">
        <v>-509</v>
      </c>
      <c r="O39" s="71" t="n">
        <v>-309</v>
      </c>
      <c r="P39" s="71" t="n">
        <v>50</v>
      </c>
      <c r="Q39" t="inlineStr">
        <is>
          <t>N34/C1</t>
        </is>
      </c>
      <c r="R39" t="n">
        <v>1</v>
      </c>
      <c r="S39" t="inlineStr">
        <is>
          <t>button_connect</t>
        </is>
      </c>
      <c r="T39" t="inlineStr">
        <is>
          <t>PASS</t>
        </is>
      </c>
    </row>
    <row r="40">
      <c r="A40" s="71" t="n">
        <v>36</v>
      </c>
      <c r="B40" t="inlineStr">
        <is>
          <t>grid</t>
        </is>
      </c>
      <c r="C40" t="inlineStr">
        <is>
          <t>G4-1</t>
        </is>
      </c>
      <c r="D40" t="inlineStr">
        <is>
          <t>Grid 1 Track 4</t>
        </is>
      </c>
      <c r="E40" t="inlineStr">
        <is>
          <t>note</t>
        </is>
      </c>
      <c r="F40" s="71" t="n">
        <v>35</v>
      </c>
      <c r="G40" s="71" t="n">
        <v>1</v>
      </c>
      <c r="H40" t="inlineStr">
        <is>
          <t>N35/C1</t>
        </is>
      </c>
      <c r="I40" s="72" t="inlineStr">
        <is>
          <t>72057594037937040</t>
        </is>
      </c>
      <c r="J40" s="71" t="n">
        <v>5</v>
      </c>
      <c r="K40" s="51" t="inlineStr">
        <is>
          <t>#e23b3bff</t>
        </is>
      </c>
      <c r="L40" s="71" t="n">
        <v>1185</v>
      </c>
      <c r="M40" s="71" t="n">
        <v>465</v>
      </c>
      <c r="N40" s="71" t="n">
        <v>-379</v>
      </c>
      <c r="O40" s="71" t="n">
        <v>-309</v>
      </c>
      <c r="P40" s="71" t="n">
        <v>50</v>
      </c>
      <c r="Q40" t="inlineStr">
        <is>
          <t>N35/C1</t>
        </is>
      </c>
      <c r="R40" t="n">
        <v>1</v>
      </c>
      <c r="S40" t="inlineStr">
        <is>
          <t>button_connect</t>
        </is>
      </c>
      <c r="T40" t="inlineStr">
        <is>
          <t>PASS</t>
        </is>
      </c>
    </row>
    <row r="41">
      <c r="A41" s="71" t="n">
        <v>37</v>
      </c>
      <c r="B41" t="inlineStr">
        <is>
          <t>grid</t>
        </is>
      </c>
      <c r="C41" t="inlineStr">
        <is>
          <t>G5-1</t>
        </is>
      </c>
      <c r="D41" t="inlineStr">
        <is>
          <t>Grid 1 Track 5</t>
        </is>
      </c>
      <c r="E41" t="inlineStr">
        <is>
          <t>note</t>
        </is>
      </c>
      <c r="F41" s="71" t="n">
        <v>36</v>
      </c>
      <c r="G41" s="71" t="n">
        <v>1</v>
      </c>
      <c r="H41" t="inlineStr">
        <is>
          <t>N36/C1</t>
        </is>
      </c>
      <c r="I41" s="72" t="inlineStr">
        <is>
          <t>72057594037937296</t>
        </is>
      </c>
      <c r="J41" s="71" t="n">
        <v>9</v>
      </c>
      <c r="K41" s="54" t="inlineStr">
        <is>
          <t>#f08a24ff</t>
        </is>
      </c>
      <c r="L41" s="71" t="n">
        <v>1505</v>
      </c>
      <c r="M41" s="71" t="n">
        <v>465</v>
      </c>
      <c r="N41" s="71" t="n">
        <v>-249</v>
      </c>
      <c r="O41" s="71" t="n">
        <v>-309</v>
      </c>
      <c r="P41" s="71" t="n">
        <v>50</v>
      </c>
      <c r="Q41" t="inlineStr">
        <is>
          <t>N36/C1</t>
        </is>
      </c>
      <c r="R41" t="n">
        <v>1</v>
      </c>
      <c r="S41" t="inlineStr">
        <is>
          <t>button_connect</t>
        </is>
      </c>
      <c r="T41" t="inlineStr">
        <is>
          <t>PASS</t>
        </is>
      </c>
    </row>
    <row r="42">
      <c r="A42" s="71" t="n">
        <v>38</v>
      </c>
      <c r="B42" t="inlineStr">
        <is>
          <t>grid</t>
        </is>
      </c>
      <c r="C42" t="inlineStr">
        <is>
          <t>G6-1</t>
        </is>
      </c>
      <c r="D42" t="inlineStr">
        <is>
          <t>Grid 1 Track 6</t>
        </is>
      </c>
      <c r="E42" t="inlineStr">
        <is>
          <t>note</t>
        </is>
      </c>
      <c r="F42" s="71" t="n">
        <v>37</v>
      </c>
      <c r="G42" s="71" t="n">
        <v>1</v>
      </c>
      <c r="H42" t="inlineStr">
        <is>
          <t>N37/C1</t>
        </is>
      </c>
      <c r="I42" s="72" t="inlineStr">
        <is>
          <t>72057594037937552</t>
        </is>
      </c>
      <c r="J42" s="71" t="n">
        <v>49</v>
      </c>
      <c r="K42" s="57" t="inlineStr">
        <is>
          <t>#7a3fc0ff</t>
        </is>
      </c>
      <c r="L42" s="71" t="n">
        <v>1825</v>
      </c>
      <c r="M42" s="71" t="n">
        <v>465</v>
      </c>
      <c r="N42" s="71" t="n">
        <v>-120</v>
      </c>
      <c r="O42" s="71" t="n">
        <v>-309</v>
      </c>
      <c r="P42" s="71" t="n">
        <v>50</v>
      </c>
      <c r="Q42" t="inlineStr">
        <is>
          <t>N37/C1</t>
        </is>
      </c>
      <c r="R42" t="n">
        <v>1</v>
      </c>
      <c r="S42" t="inlineStr">
        <is>
          <t>button_connect</t>
        </is>
      </c>
      <c r="T42" t="inlineStr">
        <is>
          <t>PASS</t>
        </is>
      </c>
    </row>
    <row r="43">
      <c r="A43" s="71" t="n">
        <v>39</v>
      </c>
      <c r="B43" t="inlineStr">
        <is>
          <t>grid</t>
        </is>
      </c>
      <c r="C43" t="inlineStr">
        <is>
          <t>G7-1</t>
        </is>
      </c>
      <c r="D43" t="inlineStr">
        <is>
          <t>Grid 1 Track 7</t>
        </is>
      </c>
      <c r="E43" t="inlineStr">
        <is>
          <t>note</t>
        </is>
      </c>
      <c r="F43" s="71" t="n">
        <v>38</v>
      </c>
      <c r="G43" s="71" t="n">
        <v>1</v>
      </c>
      <c r="H43" t="inlineStr">
        <is>
          <t>N38/C1</t>
        </is>
      </c>
      <c r="I43" s="72" t="inlineStr">
        <is>
          <t>72057594037937808</t>
        </is>
      </c>
      <c r="J43" s="71" t="n">
        <v>53</v>
      </c>
      <c r="K43" s="60" t="inlineStr">
        <is>
          <t>#c81e9aff</t>
        </is>
      </c>
      <c r="L43" s="71" t="n">
        <v>2145</v>
      </c>
      <c r="M43" s="71" t="n">
        <v>465</v>
      </c>
      <c r="N43" s="71" t="n">
        <v>10</v>
      </c>
      <c r="O43" s="71" t="n">
        <v>-309</v>
      </c>
      <c r="P43" s="71" t="n">
        <v>50</v>
      </c>
      <c r="Q43" t="inlineStr">
        <is>
          <t>N38/C1</t>
        </is>
      </c>
      <c r="R43" t="n">
        <v>1</v>
      </c>
      <c r="S43" t="inlineStr">
        <is>
          <t>button_connect</t>
        </is>
      </c>
      <c r="T43" t="inlineStr">
        <is>
          <t>PASS</t>
        </is>
      </c>
    </row>
    <row r="44">
      <c r="A44" s="71" t="n">
        <v>40</v>
      </c>
      <c r="B44" t="inlineStr">
        <is>
          <t>grid</t>
        </is>
      </c>
      <c r="C44" t="inlineStr">
        <is>
          <t>G8-1</t>
        </is>
      </c>
      <c r="D44" t="inlineStr">
        <is>
          <t>Grid 1 Track 8</t>
        </is>
      </c>
      <c r="E44" t="inlineStr">
        <is>
          <t>note</t>
        </is>
      </c>
      <c r="F44" s="71" t="n">
        <v>39</v>
      </c>
      <c r="G44" s="71" t="n">
        <v>1</v>
      </c>
      <c r="H44" t="inlineStr">
        <is>
          <t>N39/C1</t>
        </is>
      </c>
      <c r="I44" s="72" t="inlineStr">
        <is>
          <t>72057594037938064</t>
        </is>
      </c>
      <c r="J44" s="71" t="n">
        <v>3</v>
      </c>
      <c r="K44" s="63" t="inlineStr">
        <is>
          <t>#e6e6e6ff</t>
        </is>
      </c>
      <c r="L44" s="71" t="n">
        <v>2465</v>
      </c>
      <c r="M44" s="71" t="n">
        <v>465</v>
      </c>
      <c r="N44" s="71" t="n">
        <v>140</v>
      </c>
      <c r="O44" s="71" t="n">
        <v>-309</v>
      </c>
      <c r="P44" s="71" t="n">
        <v>50</v>
      </c>
      <c r="Q44" t="inlineStr">
        <is>
          <t>N39/C1</t>
        </is>
      </c>
      <c r="R44" t="n">
        <v>1</v>
      </c>
      <c r="S44" t="inlineStr">
        <is>
          <t>button_connect</t>
        </is>
      </c>
      <c r="T44" t="inlineStr">
        <is>
          <t>PASS</t>
        </is>
      </c>
    </row>
    <row r="45">
      <c r="A45" s="71" t="n">
        <v>41</v>
      </c>
      <c r="B45" t="inlineStr">
        <is>
          <t>scene</t>
        </is>
      </c>
      <c r="C45" t="inlineStr">
        <is>
          <t>SCENE1</t>
        </is>
      </c>
      <c r="D45" t="inlineStr">
        <is>
          <t>Scene Launch 1</t>
        </is>
      </c>
      <c r="E45" t="inlineStr">
        <is>
          <t>note</t>
        </is>
      </c>
      <c r="F45" s="71" t="n">
        <v>82</v>
      </c>
      <c r="G45" s="71" t="n">
        <v>1</v>
      </c>
      <c r="H45" t="inlineStr">
        <is>
          <t>N82/C1</t>
        </is>
      </c>
      <c r="I45" s="72" t="inlineStr">
        <is>
          <t>72057594037949072</t>
        </is>
      </c>
      <c r="J45" s="71" t="n">
        <v>21</v>
      </c>
      <c r="K45" s="48" t="inlineStr">
        <is>
          <t>#23c552ff</t>
        </is>
      </c>
      <c r="L45" s="71" t="n">
        <v>2745</v>
      </c>
      <c r="M45" s="71" t="n">
        <v>465</v>
      </c>
      <c r="N45" s="71" t="n">
        <v>254</v>
      </c>
      <c r="O45" s="71" t="n">
        <v>-309</v>
      </c>
      <c r="P45" s="71" t="n">
        <v>35</v>
      </c>
      <c r="Q45" t="inlineStr">
        <is>
          <t>N82/C1</t>
        </is>
      </c>
      <c r="R45" t="n">
        <v>1</v>
      </c>
      <c r="S45" t="inlineStr">
        <is>
          <t>button_connect</t>
        </is>
      </c>
      <c r="T45" t="inlineStr">
        <is>
          <t>PASS</t>
        </is>
      </c>
    </row>
    <row r="46">
      <c r="A46" s="71" t="n">
        <v>42</v>
      </c>
      <c r="B46" t="inlineStr">
        <is>
          <t>scene</t>
        </is>
      </c>
      <c r="C46" t="inlineStr">
        <is>
          <t>SCENE2</t>
        </is>
      </c>
      <c r="D46" t="inlineStr">
        <is>
          <t>Scene Launch 2</t>
        </is>
      </c>
      <c r="E46" t="inlineStr">
        <is>
          <t>note</t>
        </is>
      </c>
      <c r="F46" s="71" t="n">
        <v>83</v>
      </c>
      <c r="G46" s="71" t="n">
        <v>1</v>
      </c>
      <c r="H46" t="inlineStr">
        <is>
          <t>N83/C1</t>
        </is>
      </c>
      <c r="I46" s="72" t="inlineStr">
        <is>
          <t>72057594037949328</t>
        </is>
      </c>
      <c r="J46" s="71" t="n">
        <v>21</v>
      </c>
      <c r="K46" s="48" t="inlineStr">
        <is>
          <t>#23c552ff</t>
        </is>
      </c>
      <c r="L46" s="71" t="n">
        <v>2745</v>
      </c>
      <c r="M46" s="71" t="n">
        <v>620</v>
      </c>
      <c r="N46" s="71" t="n">
        <v>254</v>
      </c>
      <c r="O46" s="71" t="n">
        <v>-249</v>
      </c>
      <c r="P46" s="71" t="n">
        <v>35</v>
      </c>
      <c r="Q46" t="inlineStr">
        <is>
          <t>N83/C1</t>
        </is>
      </c>
      <c r="R46" t="n">
        <v>1</v>
      </c>
      <c r="S46" t="inlineStr">
        <is>
          <t>button_connect</t>
        </is>
      </c>
      <c r="T46" t="inlineStr">
        <is>
          <t>PASS</t>
        </is>
      </c>
    </row>
    <row r="47">
      <c r="A47" s="71" t="n">
        <v>43</v>
      </c>
      <c r="B47" t="inlineStr">
        <is>
          <t>scene</t>
        </is>
      </c>
      <c r="C47" t="inlineStr">
        <is>
          <t>SCENE3</t>
        </is>
      </c>
      <c r="D47" t="inlineStr">
        <is>
          <t>Scene Launch 3</t>
        </is>
      </c>
      <c r="E47" t="inlineStr">
        <is>
          <t>note</t>
        </is>
      </c>
      <c r="F47" s="71" t="n">
        <v>84</v>
      </c>
      <c r="G47" s="71" t="n">
        <v>1</v>
      </c>
      <c r="H47" t="inlineStr">
        <is>
          <t>N84/C1</t>
        </is>
      </c>
      <c r="I47" s="72" t="inlineStr">
        <is>
          <t>72057594037949584</t>
        </is>
      </c>
      <c r="J47" s="71" t="n">
        <v>21</v>
      </c>
      <c r="K47" s="48" t="inlineStr">
        <is>
          <t>#23c552ff</t>
        </is>
      </c>
      <c r="L47" s="71" t="n">
        <v>2745</v>
      </c>
      <c r="M47" s="71" t="n">
        <v>775</v>
      </c>
      <c r="N47" s="71" t="n">
        <v>254</v>
      </c>
      <c r="O47" s="71" t="n">
        <v>-189</v>
      </c>
      <c r="P47" s="71" t="n">
        <v>35</v>
      </c>
      <c r="Q47" t="inlineStr">
        <is>
          <t>N84/C1</t>
        </is>
      </c>
      <c r="R47" t="n">
        <v>1</v>
      </c>
      <c r="S47" t="inlineStr">
        <is>
          <t>button_connect</t>
        </is>
      </c>
      <c r="T47" t="inlineStr">
        <is>
          <t>PASS</t>
        </is>
      </c>
    </row>
    <row r="48">
      <c r="A48" s="71" t="n">
        <v>44</v>
      </c>
      <c r="B48" t="inlineStr">
        <is>
          <t>scene</t>
        </is>
      </c>
      <c r="C48" t="inlineStr">
        <is>
          <t>SCENE4</t>
        </is>
      </c>
      <c r="D48" t="inlineStr">
        <is>
          <t>Scene Launch 4</t>
        </is>
      </c>
      <c r="E48" t="inlineStr">
        <is>
          <t>note</t>
        </is>
      </c>
      <c r="F48" s="71" t="n">
        <v>85</v>
      </c>
      <c r="G48" s="71" t="n">
        <v>1</v>
      </c>
      <c r="H48" t="inlineStr">
        <is>
          <t>N85/C1</t>
        </is>
      </c>
      <c r="I48" s="72" t="inlineStr">
        <is>
          <t>72057594037949840</t>
        </is>
      </c>
      <c r="J48" s="71" t="n">
        <v>21</v>
      </c>
      <c r="K48" s="48" t="inlineStr">
        <is>
          <t>#23c552ff</t>
        </is>
      </c>
      <c r="L48" s="71" t="n">
        <v>2745</v>
      </c>
      <c r="M48" s="71" t="n">
        <v>930</v>
      </c>
      <c r="N48" s="71" t="n">
        <v>254</v>
      </c>
      <c r="O48" s="71" t="n">
        <v>-128</v>
      </c>
      <c r="P48" s="71" t="n">
        <v>35</v>
      </c>
      <c r="Q48" t="inlineStr">
        <is>
          <t>N85/C1</t>
        </is>
      </c>
      <c r="R48" t="n">
        <v>1</v>
      </c>
      <c r="S48" t="inlineStr">
        <is>
          <t>button_connect</t>
        </is>
      </c>
      <c r="T48" t="inlineStr">
        <is>
          <t>PASS</t>
        </is>
      </c>
    </row>
    <row r="49">
      <c r="A49" s="71" t="n">
        <v>45</v>
      </c>
      <c r="B49" t="inlineStr">
        <is>
          <t>scene</t>
        </is>
      </c>
      <c r="C49" t="inlineStr">
        <is>
          <t>SCENE5</t>
        </is>
      </c>
      <c r="D49" t="inlineStr">
        <is>
          <t>Scene Launch 5</t>
        </is>
      </c>
      <c r="E49" t="inlineStr">
        <is>
          <t>note</t>
        </is>
      </c>
      <c r="F49" s="71" t="n">
        <v>86</v>
      </c>
      <c r="G49" s="71" t="n">
        <v>1</v>
      </c>
      <c r="H49" t="inlineStr">
        <is>
          <t>N86/C1</t>
        </is>
      </c>
      <c r="I49" s="72" t="inlineStr">
        <is>
          <t>72057594037950096</t>
        </is>
      </c>
      <c r="J49" s="71" t="n">
        <v>21</v>
      </c>
      <c r="K49" s="48" t="inlineStr">
        <is>
          <t>#23c552ff</t>
        </is>
      </c>
      <c r="L49" s="71" t="n">
        <v>2745</v>
      </c>
      <c r="M49" s="71" t="n">
        <v>1085</v>
      </c>
      <c r="N49" s="71" t="n">
        <v>254</v>
      </c>
      <c r="O49" s="71" t="n">
        <v>-68</v>
      </c>
      <c r="P49" s="71" t="n">
        <v>35</v>
      </c>
      <c r="Q49" t="inlineStr">
        <is>
          <t>N86/C1</t>
        </is>
      </c>
      <c r="R49" t="n">
        <v>1</v>
      </c>
      <c r="S49" t="inlineStr">
        <is>
          <t>button_connect</t>
        </is>
      </c>
      <c r="T49" t="inlineStr">
        <is>
          <t>PASS</t>
        </is>
      </c>
    </row>
    <row r="50">
      <c r="A50" s="71" t="n">
        <v>46</v>
      </c>
      <c r="B50" t="inlineStr">
        <is>
          <t>clip_stop</t>
        </is>
      </c>
      <c r="C50" t="inlineStr">
        <is>
          <t>STOP1</t>
        </is>
      </c>
      <c r="D50" t="inlineStr">
        <is>
          <t>Clip Stop 1</t>
        </is>
      </c>
      <c r="E50" t="inlineStr">
        <is>
          <t>note</t>
        </is>
      </c>
      <c r="F50" s="71" t="n">
        <v>52</v>
      </c>
      <c r="G50" s="71" t="n">
        <v>1</v>
      </c>
      <c r="H50" t="inlineStr">
        <is>
          <t>N52/C1</t>
        </is>
      </c>
      <c r="I50" s="72" t="inlineStr">
        <is>
          <t>72057594037941392</t>
        </is>
      </c>
      <c r="J50" s="71" t="n">
        <v>5</v>
      </c>
      <c r="K50" s="54" t="inlineStr">
        <is>
          <t>#f08a24ff</t>
        </is>
      </c>
      <c r="L50" s="71" t="n">
        <v>225</v>
      </c>
      <c r="M50" s="71" t="n">
        <v>1261</v>
      </c>
      <c r="N50" s="71" t="n">
        <v>-769</v>
      </c>
      <c r="O50" s="71" t="n">
        <v>0</v>
      </c>
      <c r="P50" s="71" t="n">
        <v>35</v>
      </c>
      <c r="Q50" t="inlineStr">
        <is>
          <t>N52/C1</t>
        </is>
      </c>
      <c r="R50" t="n">
        <v>1</v>
      </c>
      <c r="S50" t="inlineStr">
        <is>
          <t>button_connect</t>
        </is>
      </c>
      <c r="T50" t="inlineStr">
        <is>
          <t>PASS</t>
        </is>
      </c>
    </row>
    <row r="51">
      <c r="A51" s="71" t="n">
        <v>47</v>
      </c>
      <c r="B51" t="inlineStr">
        <is>
          <t>clip_stop</t>
        </is>
      </c>
      <c r="C51" t="inlineStr">
        <is>
          <t>STOP2</t>
        </is>
      </c>
      <c r="D51" t="inlineStr">
        <is>
          <t>Clip Stop 2</t>
        </is>
      </c>
      <c r="E51" t="inlineStr">
        <is>
          <t>note</t>
        </is>
      </c>
      <c r="F51" s="71" t="n">
        <v>52</v>
      </c>
      <c r="G51" s="71" t="n">
        <v>2</v>
      </c>
      <c r="H51" t="inlineStr">
        <is>
          <t>N52/C2</t>
        </is>
      </c>
      <c r="I51" s="72" t="inlineStr">
        <is>
          <t>72057594037941393</t>
        </is>
      </c>
      <c r="J51" s="71" t="n">
        <v>5</v>
      </c>
      <c r="K51" s="54" t="inlineStr">
        <is>
          <t>#f08a24ff</t>
        </is>
      </c>
      <c r="L51" s="71" t="n">
        <v>545</v>
      </c>
      <c r="M51" s="71" t="n">
        <v>1261</v>
      </c>
      <c r="N51" s="71" t="n">
        <v>-639</v>
      </c>
      <c r="O51" s="71" t="n">
        <v>0</v>
      </c>
      <c r="P51" s="71" t="n">
        <v>35</v>
      </c>
      <c r="Q51" t="inlineStr">
        <is>
          <t>N52/C2</t>
        </is>
      </c>
      <c r="R51" t="n">
        <v>1</v>
      </c>
      <c r="S51" t="inlineStr">
        <is>
          <t>button_connect</t>
        </is>
      </c>
      <c r="T51" t="inlineStr">
        <is>
          <t>PASS</t>
        </is>
      </c>
    </row>
    <row r="52">
      <c r="A52" s="71" t="n">
        <v>48</v>
      </c>
      <c r="B52" t="inlineStr">
        <is>
          <t>clip_stop</t>
        </is>
      </c>
      <c r="C52" t="inlineStr">
        <is>
          <t>STOP3</t>
        </is>
      </c>
      <c r="D52" t="inlineStr">
        <is>
          <t>Clip Stop 3</t>
        </is>
      </c>
      <c r="E52" t="inlineStr">
        <is>
          <t>note</t>
        </is>
      </c>
      <c r="F52" s="71" t="n">
        <v>52</v>
      </c>
      <c r="G52" s="71" t="n">
        <v>3</v>
      </c>
      <c r="H52" t="inlineStr">
        <is>
          <t>N52/C3</t>
        </is>
      </c>
      <c r="I52" s="72" t="inlineStr">
        <is>
          <t>72057594037941394</t>
        </is>
      </c>
      <c r="J52" s="71" t="n">
        <v>5</v>
      </c>
      <c r="K52" s="54" t="inlineStr">
        <is>
          <t>#f08a24ff</t>
        </is>
      </c>
      <c r="L52" s="71" t="n">
        <v>865</v>
      </c>
      <c r="M52" s="71" t="n">
        <v>1261</v>
      </c>
      <c r="N52" s="71" t="n">
        <v>-509</v>
      </c>
      <c r="O52" s="71" t="n">
        <v>0</v>
      </c>
      <c r="P52" s="71" t="n">
        <v>35</v>
      </c>
      <c r="Q52" t="inlineStr">
        <is>
          <t>N52/C3</t>
        </is>
      </c>
      <c r="R52" t="n">
        <v>1</v>
      </c>
      <c r="S52" t="inlineStr">
        <is>
          <t>button_connect</t>
        </is>
      </c>
      <c r="T52" t="inlineStr">
        <is>
          <t>PASS</t>
        </is>
      </c>
    </row>
    <row r="53">
      <c r="A53" s="71" t="n">
        <v>49</v>
      </c>
      <c r="B53" t="inlineStr">
        <is>
          <t>clip_stop</t>
        </is>
      </c>
      <c r="C53" t="inlineStr">
        <is>
          <t>STOP4</t>
        </is>
      </c>
      <c r="D53" t="inlineStr">
        <is>
          <t>Clip Stop 4</t>
        </is>
      </c>
      <c r="E53" t="inlineStr">
        <is>
          <t>note</t>
        </is>
      </c>
      <c r="F53" s="71" t="n">
        <v>52</v>
      </c>
      <c r="G53" s="71" t="n">
        <v>4</v>
      </c>
      <c r="H53" t="inlineStr">
        <is>
          <t>N52/C4</t>
        </is>
      </c>
      <c r="I53" s="72" t="inlineStr">
        <is>
          <t>72057594037941395</t>
        </is>
      </c>
      <c r="J53" s="71" t="n">
        <v>5</v>
      </c>
      <c r="K53" s="54" t="inlineStr">
        <is>
          <t>#f08a24ff</t>
        </is>
      </c>
      <c r="L53" s="71" t="n">
        <v>1185</v>
      </c>
      <c r="M53" s="71" t="n">
        <v>1261</v>
      </c>
      <c r="N53" s="71" t="n">
        <v>-379</v>
      </c>
      <c r="O53" s="71" t="n">
        <v>0</v>
      </c>
      <c r="P53" s="71" t="n">
        <v>35</v>
      </c>
      <c r="Q53" t="inlineStr">
        <is>
          <t>N52/C4</t>
        </is>
      </c>
      <c r="R53" t="n">
        <v>1</v>
      </c>
      <c r="S53" t="inlineStr">
        <is>
          <t>button_connect</t>
        </is>
      </c>
      <c r="T53" t="inlineStr">
        <is>
          <t>PASS</t>
        </is>
      </c>
    </row>
    <row r="54">
      <c r="A54" s="71" t="n">
        <v>50</v>
      </c>
      <c r="B54" t="inlineStr">
        <is>
          <t>clip_stop</t>
        </is>
      </c>
      <c r="C54" t="inlineStr">
        <is>
          <t>STOP5</t>
        </is>
      </c>
      <c r="D54" t="inlineStr">
        <is>
          <t>Clip Stop 5</t>
        </is>
      </c>
      <c r="E54" t="inlineStr">
        <is>
          <t>note</t>
        </is>
      </c>
      <c r="F54" s="71" t="n">
        <v>52</v>
      </c>
      <c r="G54" s="71" t="n">
        <v>5</v>
      </c>
      <c r="H54" t="inlineStr">
        <is>
          <t>N52/C5</t>
        </is>
      </c>
      <c r="I54" s="72" t="inlineStr">
        <is>
          <t>72057594037941396</t>
        </is>
      </c>
      <c r="J54" s="71" t="n">
        <v>5</v>
      </c>
      <c r="K54" s="54" t="inlineStr">
        <is>
          <t>#f08a24ff</t>
        </is>
      </c>
      <c r="L54" s="71" t="n">
        <v>1505</v>
      </c>
      <c r="M54" s="71" t="n">
        <v>1261</v>
      </c>
      <c r="N54" s="71" t="n">
        <v>-249</v>
      </c>
      <c r="O54" s="71" t="n">
        <v>0</v>
      </c>
      <c r="P54" s="71" t="n">
        <v>35</v>
      </c>
      <c r="Q54" t="inlineStr">
        <is>
          <t>N52/C5</t>
        </is>
      </c>
      <c r="R54" t="n">
        <v>1</v>
      </c>
      <c r="S54" t="inlineStr">
        <is>
          <t>button_connect</t>
        </is>
      </c>
      <c r="T54" t="inlineStr">
        <is>
          <t>PASS</t>
        </is>
      </c>
    </row>
    <row r="55">
      <c r="A55" s="71" t="n">
        <v>51</v>
      </c>
      <c r="B55" t="inlineStr">
        <is>
          <t>clip_stop</t>
        </is>
      </c>
      <c r="C55" t="inlineStr">
        <is>
          <t>STOP6</t>
        </is>
      </c>
      <c r="D55" t="inlineStr">
        <is>
          <t>Clip Stop 6</t>
        </is>
      </c>
      <c r="E55" t="inlineStr">
        <is>
          <t>note</t>
        </is>
      </c>
      <c r="F55" s="71" t="n">
        <v>52</v>
      </c>
      <c r="G55" s="71" t="n">
        <v>6</v>
      </c>
      <c r="H55" t="inlineStr">
        <is>
          <t>N52/C6</t>
        </is>
      </c>
      <c r="I55" s="72" t="inlineStr">
        <is>
          <t>72057594037941397</t>
        </is>
      </c>
      <c r="J55" s="71" t="n">
        <v>5</v>
      </c>
      <c r="K55" s="54" t="inlineStr">
        <is>
          <t>#f08a24ff</t>
        </is>
      </c>
      <c r="L55" s="71" t="n">
        <v>1825</v>
      </c>
      <c r="M55" s="71" t="n">
        <v>1261</v>
      </c>
      <c r="N55" s="71" t="n">
        <v>-120</v>
      </c>
      <c r="O55" s="71" t="n">
        <v>0</v>
      </c>
      <c r="P55" s="71" t="n">
        <v>35</v>
      </c>
      <c r="Q55" t="inlineStr">
        <is>
          <t>N52/C6</t>
        </is>
      </c>
      <c r="R55" t="n">
        <v>1</v>
      </c>
      <c r="S55" t="inlineStr">
        <is>
          <t>button_connect</t>
        </is>
      </c>
      <c r="T55" t="inlineStr">
        <is>
          <t>PASS</t>
        </is>
      </c>
    </row>
    <row r="56">
      <c r="A56" s="71" t="n">
        <v>52</v>
      </c>
      <c r="B56" t="inlineStr">
        <is>
          <t>clip_stop</t>
        </is>
      </c>
      <c r="C56" t="inlineStr">
        <is>
          <t>STOP7</t>
        </is>
      </c>
      <c r="D56" t="inlineStr">
        <is>
          <t>Clip Stop 7</t>
        </is>
      </c>
      <c r="E56" t="inlineStr">
        <is>
          <t>note</t>
        </is>
      </c>
      <c r="F56" s="71" t="n">
        <v>52</v>
      </c>
      <c r="G56" s="71" t="n">
        <v>7</v>
      </c>
      <c r="H56" t="inlineStr">
        <is>
          <t>N52/C7</t>
        </is>
      </c>
      <c r="I56" s="72" t="inlineStr">
        <is>
          <t>72057594037941398</t>
        </is>
      </c>
      <c r="J56" s="71" t="n">
        <v>5</v>
      </c>
      <c r="K56" s="54" t="inlineStr">
        <is>
          <t>#f08a24ff</t>
        </is>
      </c>
      <c r="L56" s="71" t="n">
        <v>2145</v>
      </c>
      <c r="M56" s="71" t="n">
        <v>1261</v>
      </c>
      <c r="N56" s="71" t="n">
        <v>10</v>
      </c>
      <c r="O56" s="71" t="n">
        <v>0</v>
      </c>
      <c r="P56" s="71" t="n">
        <v>35</v>
      </c>
      <c r="Q56" t="inlineStr">
        <is>
          <t>N52/C7</t>
        </is>
      </c>
      <c r="R56" t="n">
        <v>1</v>
      </c>
      <c r="S56" t="inlineStr">
        <is>
          <t>button_connect</t>
        </is>
      </c>
      <c r="T56" t="inlineStr">
        <is>
          <t>PASS</t>
        </is>
      </c>
    </row>
    <row r="57">
      <c r="A57" s="71" t="n">
        <v>53</v>
      </c>
      <c r="B57" t="inlineStr">
        <is>
          <t>clip_stop</t>
        </is>
      </c>
      <c r="C57" t="inlineStr">
        <is>
          <t>STOP8</t>
        </is>
      </c>
      <c r="D57" t="inlineStr">
        <is>
          <t>Clip Stop 8</t>
        </is>
      </c>
      <c r="E57" t="inlineStr">
        <is>
          <t>note</t>
        </is>
      </c>
      <c r="F57" s="71" t="n">
        <v>52</v>
      </c>
      <c r="G57" s="71" t="n">
        <v>8</v>
      </c>
      <c r="H57" t="inlineStr">
        <is>
          <t>N52/C8</t>
        </is>
      </c>
      <c r="I57" s="72" t="inlineStr">
        <is>
          <t>72057594037941399</t>
        </is>
      </c>
      <c r="J57" s="71" t="n">
        <v>5</v>
      </c>
      <c r="K57" s="54" t="inlineStr">
        <is>
          <t>#f08a24ff</t>
        </is>
      </c>
      <c r="L57" s="71" t="n">
        <v>2465</v>
      </c>
      <c r="M57" s="71" t="n">
        <v>1261</v>
      </c>
      <c r="N57" s="71" t="n">
        <v>140</v>
      </c>
      <c r="O57" s="71" t="n">
        <v>0</v>
      </c>
      <c r="P57" s="71" t="n">
        <v>35</v>
      </c>
      <c r="Q57" t="inlineStr">
        <is>
          <t>N52/C8</t>
        </is>
      </c>
      <c r="R57" t="n">
        <v>1</v>
      </c>
      <c r="S57" t="inlineStr">
        <is>
          <t>button_connect</t>
        </is>
      </c>
      <c r="T57" t="inlineStr">
        <is>
          <t>PASS</t>
        </is>
      </c>
    </row>
    <row r="58">
      <c r="A58" s="71" t="n">
        <v>54</v>
      </c>
      <c r="B58" t="inlineStr">
        <is>
          <t>track_select</t>
        </is>
      </c>
      <c r="C58" t="inlineStr">
        <is>
          <t>SEL1</t>
        </is>
      </c>
      <c r="D58" t="inlineStr">
        <is>
          <t>Track Select 1</t>
        </is>
      </c>
      <c r="E58" t="inlineStr">
        <is>
          <t>note</t>
        </is>
      </c>
      <c r="F58" s="71" t="n">
        <v>51</v>
      </c>
      <c r="G58" s="71" t="n">
        <v>1</v>
      </c>
      <c r="H58" t="inlineStr">
        <is>
          <t>N51/C1</t>
        </is>
      </c>
      <c r="I58" s="72" t="inlineStr">
        <is>
          <t>72057594037941136</t>
        </is>
      </c>
      <c r="J58" s="71" t="n">
        <v>45</v>
      </c>
      <c r="K58" s="54" t="inlineStr">
        <is>
          <t>#f08a24ff</t>
        </is>
      </c>
      <c r="L58" s="71" t="n">
        <v>225</v>
      </c>
      <c r="M58" s="71" t="n">
        <v>1436</v>
      </c>
      <c r="N58" s="71" t="n">
        <v>-769</v>
      </c>
      <c r="O58" s="71" t="n">
        <v>68</v>
      </c>
      <c r="P58" s="71" t="n">
        <v>35</v>
      </c>
      <c r="Q58" t="inlineStr">
        <is>
          <t>N51/C1</t>
        </is>
      </c>
      <c r="R58" t="n">
        <v>1</v>
      </c>
      <c r="S58" t="inlineStr">
        <is>
          <t>button_connect</t>
        </is>
      </c>
      <c r="T58" t="inlineStr">
        <is>
          <t>PASS</t>
        </is>
      </c>
    </row>
    <row r="59">
      <c r="A59" s="71" t="n">
        <v>55</v>
      </c>
      <c r="B59" t="inlineStr">
        <is>
          <t>track_select</t>
        </is>
      </c>
      <c r="C59" t="inlineStr">
        <is>
          <t>SEL2</t>
        </is>
      </c>
      <c r="D59" t="inlineStr">
        <is>
          <t>Track Select 2</t>
        </is>
      </c>
      <c r="E59" t="inlineStr">
        <is>
          <t>note</t>
        </is>
      </c>
      <c r="F59" s="71" t="n">
        <v>51</v>
      </c>
      <c r="G59" s="71" t="n">
        <v>2</v>
      </c>
      <c r="H59" t="inlineStr">
        <is>
          <t>N51/C2</t>
        </is>
      </c>
      <c r="I59" s="72" t="inlineStr">
        <is>
          <t>72057594037941137</t>
        </is>
      </c>
      <c r="J59" s="71" t="n">
        <v>45</v>
      </c>
      <c r="K59" s="54" t="inlineStr">
        <is>
          <t>#f08a24ff</t>
        </is>
      </c>
      <c r="L59" s="71" t="n">
        <v>545</v>
      </c>
      <c r="M59" s="71" t="n">
        <v>1436</v>
      </c>
      <c r="N59" s="71" t="n">
        <v>-639</v>
      </c>
      <c r="O59" s="71" t="n">
        <v>68</v>
      </c>
      <c r="P59" s="71" t="n">
        <v>35</v>
      </c>
      <c r="Q59" t="inlineStr">
        <is>
          <t>N51/C2</t>
        </is>
      </c>
      <c r="R59" t="n">
        <v>1</v>
      </c>
      <c r="S59" t="inlineStr">
        <is>
          <t>button_connect</t>
        </is>
      </c>
      <c r="T59" t="inlineStr">
        <is>
          <t>PASS</t>
        </is>
      </c>
    </row>
    <row r="60">
      <c r="A60" s="71" t="n">
        <v>56</v>
      </c>
      <c r="B60" t="inlineStr">
        <is>
          <t>track_select</t>
        </is>
      </c>
      <c r="C60" t="inlineStr">
        <is>
          <t>SEL3</t>
        </is>
      </c>
      <c r="D60" t="inlineStr">
        <is>
          <t>Track Select 3</t>
        </is>
      </c>
      <c r="E60" t="inlineStr">
        <is>
          <t>note</t>
        </is>
      </c>
      <c r="F60" s="71" t="n">
        <v>51</v>
      </c>
      <c r="G60" s="71" t="n">
        <v>3</v>
      </c>
      <c r="H60" t="inlineStr">
        <is>
          <t>N51/C3</t>
        </is>
      </c>
      <c r="I60" s="72" t="inlineStr">
        <is>
          <t>72057594037941138</t>
        </is>
      </c>
      <c r="J60" s="71" t="n">
        <v>45</v>
      </c>
      <c r="K60" s="54" t="inlineStr">
        <is>
          <t>#f08a24ff</t>
        </is>
      </c>
      <c r="L60" s="71" t="n">
        <v>865</v>
      </c>
      <c r="M60" s="71" t="n">
        <v>1436</v>
      </c>
      <c r="N60" s="71" t="n">
        <v>-509</v>
      </c>
      <c r="O60" s="71" t="n">
        <v>68</v>
      </c>
      <c r="P60" s="71" t="n">
        <v>35</v>
      </c>
      <c r="Q60" t="inlineStr">
        <is>
          <t>N51/C3</t>
        </is>
      </c>
      <c r="R60" t="n">
        <v>1</v>
      </c>
      <c r="S60" t="inlineStr">
        <is>
          <t>button_connect</t>
        </is>
      </c>
      <c r="T60" t="inlineStr">
        <is>
          <t>PASS</t>
        </is>
      </c>
    </row>
    <row r="61">
      <c r="A61" s="71" t="n">
        <v>57</v>
      </c>
      <c r="B61" t="inlineStr">
        <is>
          <t>track_select</t>
        </is>
      </c>
      <c r="C61" t="inlineStr">
        <is>
          <t>SEL4</t>
        </is>
      </c>
      <c r="D61" t="inlineStr">
        <is>
          <t>Track Select 4</t>
        </is>
      </c>
      <c r="E61" t="inlineStr">
        <is>
          <t>note</t>
        </is>
      </c>
      <c r="F61" s="71" t="n">
        <v>51</v>
      </c>
      <c r="G61" s="71" t="n">
        <v>4</v>
      </c>
      <c r="H61" t="inlineStr">
        <is>
          <t>N51/C4</t>
        </is>
      </c>
      <c r="I61" s="72" t="inlineStr">
        <is>
          <t>72057594037941139</t>
        </is>
      </c>
      <c r="J61" s="71" t="n">
        <v>45</v>
      </c>
      <c r="K61" s="54" t="inlineStr">
        <is>
          <t>#f08a24ff</t>
        </is>
      </c>
      <c r="L61" s="71" t="n">
        <v>1185</v>
      </c>
      <c r="M61" s="71" t="n">
        <v>1436</v>
      </c>
      <c r="N61" s="71" t="n">
        <v>-379</v>
      </c>
      <c r="O61" s="71" t="n">
        <v>68</v>
      </c>
      <c r="P61" s="71" t="n">
        <v>35</v>
      </c>
      <c r="Q61" t="inlineStr">
        <is>
          <t>N51/C4</t>
        </is>
      </c>
      <c r="R61" t="n">
        <v>1</v>
      </c>
      <c r="S61" t="inlineStr">
        <is>
          <t>button_connect</t>
        </is>
      </c>
      <c r="T61" t="inlineStr">
        <is>
          <t>PASS</t>
        </is>
      </c>
    </row>
    <row r="62">
      <c r="A62" s="71" t="n">
        <v>58</v>
      </c>
      <c r="B62" t="inlineStr">
        <is>
          <t>track_select</t>
        </is>
      </c>
      <c r="C62" t="inlineStr">
        <is>
          <t>SEL5</t>
        </is>
      </c>
      <c r="D62" t="inlineStr">
        <is>
          <t>Track Select 5</t>
        </is>
      </c>
      <c r="E62" t="inlineStr">
        <is>
          <t>note</t>
        </is>
      </c>
      <c r="F62" s="71" t="n">
        <v>51</v>
      </c>
      <c r="G62" s="71" t="n">
        <v>5</v>
      </c>
      <c r="H62" t="inlineStr">
        <is>
          <t>N51/C5</t>
        </is>
      </c>
      <c r="I62" s="72" t="inlineStr">
        <is>
          <t>72057594037941140</t>
        </is>
      </c>
      <c r="J62" s="71" t="n">
        <v>45</v>
      </c>
      <c r="K62" s="54" t="inlineStr">
        <is>
          <t>#f08a24ff</t>
        </is>
      </c>
      <c r="L62" s="71" t="n">
        <v>1505</v>
      </c>
      <c r="M62" s="71" t="n">
        <v>1436</v>
      </c>
      <c r="N62" s="71" t="n">
        <v>-249</v>
      </c>
      <c r="O62" s="71" t="n">
        <v>68</v>
      </c>
      <c r="P62" s="71" t="n">
        <v>35</v>
      </c>
      <c r="Q62" t="inlineStr">
        <is>
          <t>N51/C5</t>
        </is>
      </c>
      <c r="R62" t="n">
        <v>1</v>
      </c>
      <c r="S62" t="inlineStr">
        <is>
          <t>button_connect</t>
        </is>
      </c>
      <c r="T62" t="inlineStr">
        <is>
          <t>PASS</t>
        </is>
      </c>
    </row>
    <row r="63">
      <c r="A63" s="71" t="n">
        <v>59</v>
      </c>
      <c r="B63" t="inlineStr">
        <is>
          <t>track_select</t>
        </is>
      </c>
      <c r="C63" t="inlineStr">
        <is>
          <t>SEL6</t>
        </is>
      </c>
      <c r="D63" t="inlineStr">
        <is>
          <t>Track Select 6</t>
        </is>
      </c>
      <c r="E63" t="inlineStr">
        <is>
          <t>note</t>
        </is>
      </c>
      <c r="F63" s="71" t="n">
        <v>51</v>
      </c>
      <c r="G63" s="71" t="n">
        <v>6</v>
      </c>
      <c r="H63" t="inlineStr">
        <is>
          <t>N51/C6</t>
        </is>
      </c>
      <c r="I63" s="72" t="inlineStr">
        <is>
          <t>72057594037941141</t>
        </is>
      </c>
      <c r="J63" s="71" t="n">
        <v>45</v>
      </c>
      <c r="K63" s="54" t="inlineStr">
        <is>
          <t>#f08a24ff</t>
        </is>
      </c>
      <c r="L63" s="71" t="n">
        <v>1825</v>
      </c>
      <c r="M63" s="71" t="n">
        <v>1436</v>
      </c>
      <c r="N63" s="71" t="n">
        <v>-120</v>
      </c>
      <c r="O63" s="71" t="n">
        <v>68</v>
      </c>
      <c r="P63" s="71" t="n">
        <v>35</v>
      </c>
      <c r="Q63" t="inlineStr">
        <is>
          <t>N51/C6</t>
        </is>
      </c>
      <c r="R63" t="n">
        <v>1</v>
      </c>
      <c r="S63" t="inlineStr">
        <is>
          <t>button_connect</t>
        </is>
      </c>
      <c r="T63" t="inlineStr">
        <is>
          <t>PASS</t>
        </is>
      </c>
    </row>
    <row r="64">
      <c r="A64" s="71" t="n">
        <v>60</v>
      </c>
      <c r="B64" t="inlineStr">
        <is>
          <t>track_select</t>
        </is>
      </c>
      <c r="C64" t="inlineStr">
        <is>
          <t>SEL7</t>
        </is>
      </c>
      <c r="D64" t="inlineStr">
        <is>
          <t>Track Select 7</t>
        </is>
      </c>
      <c r="E64" t="inlineStr">
        <is>
          <t>note</t>
        </is>
      </c>
      <c r="F64" s="71" t="n">
        <v>51</v>
      </c>
      <c r="G64" s="71" t="n">
        <v>7</v>
      </c>
      <c r="H64" t="inlineStr">
        <is>
          <t>N51/C7</t>
        </is>
      </c>
      <c r="I64" s="72" t="inlineStr">
        <is>
          <t>72057594037941142</t>
        </is>
      </c>
      <c r="J64" s="71" t="n">
        <v>45</v>
      </c>
      <c r="K64" s="54" t="inlineStr">
        <is>
          <t>#f08a24ff</t>
        </is>
      </c>
      <c r="L64" s="71" t="n">
        <v>2145</v>
      </c>
      <c r="M64" s="71" t="n">
        <v>1436</v>
      </c>
      <c r="N64" s="71" t="n">
        <v>10</v>
      </c>
      <c r="O64" s="71" t="n">
        <v>68</v>
      </c>
      <c r="P64" s="71" t="n">
        <v>35</v>
      </c>
      <c r="Q64" t="inlineStr">
        <is>
          <t>N51/C7</t>
        </is>
      </c>
      <c r="R64" t="n">
        <v>1</v>
      </c>
      <c r="S64" t="inlineStr">
        <is>
          <t>button_connect</t>
        </is>
      </c>
      <c r="T64" t="inlineStr">
        <is>
          <t>PASS</t>
        </is>
      </c>
    </row>
    <row r="65">
      <c r="A65" s="71" t="n">
        <v>61</v>
      </c>
      <c r="B65" t="inlineStr">
        <is>
          <t>track_select</t>
        </is>
      </c>
      <c r="C65" t="inlineStr">
        <is>
          <t>SEL8</t>
        </is>
      </c>
      <c r="D65" t="inlineStr">
        <is>
          <t>Track Select 8</t>
        </is>
      </c>
      <c r="E65" t="inlineStr">
        <is>
          <t>note</t>
        </is>
      </c>
      <c r="F65" s="71" t="n">
        <v>51</v>
      </c>
      <c r="G65" s="71" t="n">
        <v>8</v>
      </c>
      <c r="H65" t="inlineStr">
        <is>
          <t>N51/C8</t>
        </is>
      </c>
      <c r="I65" s="72" t="inlineStr">
        <is>
          <t>72057594037941143</t>
        </is>
      </c>
      <c r="J65" s="71" t="n">
        <v>45</v>
      </c>
      <c r="K65" s="54" t="inlineStr">
        <is>
          <t>#f08a24ff</t>
        </is>
      </c>
      <c r="L65" s="71" t="n">
        <v>2465</v>
      </c>
      <c r="M65" s="71" t="n">
        <v>1436</v>
      </c>
      <c r="N65" s="71" t="n">
        <v>140</v>
      </c>
      <c r="O65" s="71" t="n">
        <v>68</v>
      </c>
      <c r="P65" s="71" t="n">
        <v>35</v>
      </c>
      <c r="Q65" t="inlineStr">
        <is>
          <t>N51/C8</t>
        </is>
      </c>
      <c r="R65" t="n">
        <v>1</v>
      </c>
      <c r="S65" t="inlineStr">
        <is>
          <t>button_connect</t>
        </is>
      </c>
      <c r="T65" t="inlineStr">
        <is>
          <t>PASS</t>
        </is>
      </c>
    </row>
    <row r="66">
      <c r="A66" s="71" t="n">
        <v>62</v>
      </c>
      <c r="B66" t="inlineStr">
        <is>
          <t>record_arm</t>
        </is>
      </c>
      <c r="C66" t="inlineStr">
        <is>
          <t>●</t>
        </is>
      </c>
      <c r="D66" t="inlineStr">
        <is>
          <t>Record Arm 1</t>
        </is>
      </c>
      <c r="E66" t="inlineStr">
        <is>
          <t>note</t>
        </is>
      </c>
      <c r="F66" s="71" t="n">
        <v>48</v>
      </c>
      <c r="G66" s="71" t="n">
        <v>1</v>
      </c>
      <c r="H66" t="inlineStr">
        <is>
          <t>N48/C1</t>
        </is>
      </c>
      <c r="I66" s="72" t="inlineStr">
        <is>
          <t>72057594037940368</t>
        </is>
      </c>
      <c r="J66" s="71" t="n">
        <v>5</v>
      </c>
      <c r="K66" s="51" t="inlineStr">
        <is>
          <t>#e23b3bff</t>
        </is>
      </c>
      <c r="L66" s="71" t="n">
        <v>286</v>
      </c>
      <c r="M66" s="71" t="n">
        <v>1722</v>
      </c>
      <c r="N66" s="71" t="n">
        <v>-744</v>
      </c>
      <c r="O66" s="71" t="n">
        <v>180</v>
      </c>
      <c r="P66" s="71" t="n">
        <v>27</v>
      </c>
      <c r="Q66" t="inlineStr">
        <is>
          <t>N48/C1</t>
        </is>
      </c>
      <c r="R66" t="n">
        <v>1</v>
      </c>
      <c r="S66" t="inlineStr">
        <is>
          <t>button_connect</t>
        </is>
      </c>
      <c r="T66" t="inlineStr">
        <is>
          <t>PASS</t>
        </is>
      </c>
    </row>
    <row r="67">
      <c r="A67" s="71" t="n">
        <v>63</v>
      </c>
      <c r="B67" t="inlineStr">
        <is>
          <t>record_arm</t>
        </is>
      </c>
      <c r="C67" t="inlineStr">
        <is>
          <t>●</t>
        </is>
      </c>
      <c r="D67" t="inlineStr">
        <is>
          <t>Record Arm 2</t>
        </is>
      </c>
      <c r="E67" t="inlineStr">
        <is>
          <t>note</t>
        </is>
      </c>
      <c r="F67" s="71" t="n">
        <v>48</v>
      </c>
      <c r="G67" s="71" t="n">
        <v>2</v>
      </c>
      <c r="H67" t="inlineStr">
        <is>
          <t>N48/C2</t>
        </is>
      </c>
      <c r="I67" s="72" t="inlineStr">
        <is>
          <t>72057594037940369</t>
        </is>
      </c>
      <c r="J67" s="71" t="n">
        <v>5</v>
      </c>
      <c r="K67" s="51" t="inlineStr">
        <is>
          <t>#e23b3bff</t>
        </is>
      </c>
      <c r="L67" s="71" t="n">
        <v>606</v>
      </c>
      <c r="M67" s="71" t="n">
        <v>1722</v>
      </c>
      <c r="N67" s="71" t="n">
        <v>-614</v>
      </c>
      <c r="O67" s="71" t="n">
        <v>180</v>
      </c>
      <c r="P67" s="71" t="n">
        <v>27</v>
      </c>
      <c r="Q67" t="inlineStr">
        <is>
          <t>N48/C2</t>
        </is>
      </c>
      <c r="R67" t="n">
        <v>1</v>
      </c>
      <c r="S67" t="inlineStr">
        <is>
          <t>button_connect</t>
        </is>
      </c>
      <c r="T67" t="inlineStr">
        <is>
          <t>PASS</t>
        </is>
      </c>
    </row>
    <row r="68">
      <c r="A68" s="71" t="n">
        <v>64</v>
      </c>
      <c r="B68" t="inlineStr">
        <is>
          <t>record_arm</t>
        </is>
      </c>
      <c r="C68" t="inlineStr">
        <is>
          <t>●</t>
        </is>
      </c>
      <c r="D68" t="inlineStr">
        <is>
          <t>Record Arm 3</t>
        </is>
      </c>
      <c r="E68" t="inlineStr">
        <is>
          <t>note</t>
        </is>
      </c>
      <c r="F68" s="71" t="n">
        <v>48</v>
      </c>
      <c r="G68" s="71" t="n">
        <v>3</v>
      </c>
      <c r="H68" t="inlineStr">
        <is>
          <t>N48/C3</t>
        </is>
      </c>
      <c r="I68" s="72" t="inlineStr">
        <is>
          <t>72057594037940370</t>
        </is>
      </c>
      <c r="J68" s="71" t="n">
        <v>5</v>
      </c>
      <c r="K68" s="51" t="inlineStr">
        <is>
          <t>#e23b3bff</t>
        </is>
      </c>
      <c r="L68" s="71" t="n">
        <v>926</v>
      </c>
      <c r="M68" s="71" t="n">
        <v>1722</v>
      </c>
      <c r="N68" s="71" t="n">
        <v>-484</v>
      </c>
      <c r="O68" s="71" t="n">
        <v>180</v>
      </c>
      <c r="P68" s="71" t="n">
        <v>27</v>
      </c>
      <c r="Q68" t="inlineStr">
        <is>
          <t>N48/C3</t>
        </is>
      </c>
      <c r="R68" t="n">
        <v>1</v>
      </c>
      <c r="S68" t="inlineStr">
        <is>
          <t>button_connect</t>
        </is>
      </c>
      <c r="T68" t="inlineStr">
        <is>
          <t>PASS</t>
        </is>
      </c>
    </row>
    <row r="69">
      <c r="A69" s="71" t="n">
        <v>65</v>
      </c>
      <c r="B69" t="inlineStr">
        <is>
          <t>record_arm</t>
        </is>
      </c>
      <c r="C69" t="inlineStr">
        <is>
          <t>●</t>
        </is>
      </c>
      <c r="D69" t="inlineStr">
        <is>
          <t>Record Arm 4</t>
        </is>
      </c>
      <c r="E69" t="inlineStr">
        <is>
          <t>note</t>
        </is>
      </c>
      <c r="F69" s="71" t="n">
        <v>48</v>
      </c>
      <c r="G69" s="71" t="n">
        <v>4</v>
      </c>
      <c r="H69" t="inlineStr">
        <is>
          <t>N48/C4</t>
        </is>
      </c>
      <c r="I69" s="72" t="inlineStr">
        <is>
          <t>72057594037940371</t>
        </is>
      </c>
      <c r="J69" s="71" t="n">
        <v>5</v>
      </c>
      <c r="K69" s="51" t="inlineStr">
        <is>
          <t>#e23b3bff</t>
        </is>
      </c>
      <c r="L69" s="71" t="n">
        <v>1246</v>
      </c>
      <c r="M69" s="71" t="n">
        <v>1722</v>
      </c>
      <c r="N69" s="71" t="n">
        <v>-355</v>
      </c>
      <c r="O69" s="71" t="n">
        <v>180</v>
      </c>
      <c r="P69" s="71" t="n">
        <v>27</v>
      </c>
      <c r="Q69" t="inlineStr">
        <is>
          <t>N48/C4</t>
        </is>
      </c>
      <c r="R69" t="n">
        <v>1</v>
      </c>
      <c r="S69" t="inlineStr">
        <is>
          <t>button_connect</t>
        </is>
      </c>
      <c r="T69" t="inlineStr">
        <is>
          <t>PASS</t>
        </is>
      </c>
    </row>
    <row r="70">
      <c r="A70" s="71" t="n">
        <v>66</v>
      </c>
      <c r="B70" t="inlineStr">
        <is>
          <t>record_arm</t>
        </is>
      </c>
      <c r="C70" t="inlineStr">
        <is>
          <t>●</t>
        </is>
      </c>
      <c r="D70" t="inlineStr">
        <is>
          <t>Record Arm 5</t>
        </is>
      </c>
      <c r="E70" t="inlineStr">
        <is>
          <t>note</t>
        </is>
      </c>
      <c r="F70" s="71" t="n">
        <v>48</v>
      </c>
      <c r="G70" s="71" t="n">
        <v>5</v>
      </c>
      <c r="H70" t="inlineStr">
        <is>
          <t>N48/C5</t>
        </is>
      </c>
      <c r="I70" s="72" t="inlineStr">
        <is>
          <t>72057594037940372</t>
        </is>
      </c>
      <c r="J70" s="71" t="n">
        <v>5</v>
      </c>
      <c r="K70" s="51" t="inlineStr">
        <is>
          <t>#e23b3bff</t>
        </is>
      </c>
      <c r="L70" s="71" t="n">
        <v>1566</v>
      </c>
      <c r="M70" s="71" t="n">
        <v>1722</v>
      </c>
      <c r="N70" s="71" t="n">
        <v>-225</v>
      </c>
      <c r="O70" s="71" t="n">
        <v>180</v>
      </c>
      <c r="P70" s="71" t="n">
        <v>27</v>
      </c>
      <c r="Q70" t="inlineStr">
        <is>
          <t>N48/C5</t>
        </is>
      </c>
      <c r="R70" t="n">
        <v>1</v>
      </c>
      <c r="S70" t="inlineStr">
        <is>
          <t>button_connect</t>
        </is>
      </c>
      <c r="T70" t="inlineStr">
        <is>
          <t>PASS</t>
        </is>
      </c>
    </row>
    <row r="71">
      <c r="A71" s="71" t="n">
        <v>67</v>
      </c>
      <c r="B71" t="inlineStr">
        <is>
          <t>record_arm</t>
        </is>
      </c>
      <c r="C71" t="inlineStr">
        <is>
          <t>●</t>
        </is>
      </c>
      <c r="D71" t="inlineStr">
        <is>
          <t>Record Arm 6</t>
        </is>
      </c>
      <c r="E71" t="inlineStr">
        <is>
          <t>note</t>
        </is>
      </c>
      <c r="F71" s="71" t="n">
        <v>48</v>
      </c>
      <c r="G71" s="71" t="n">
        <v>6</v>
      </c>
      <c r="H71" t="inlineStr">
        <is>
          <t>N48/C6</t>
        </is>
      </c>
      <c r="I71" s="72" t="inlineStr">
        <is>
          <t>72057594037940373</t>
        </is>
      </c>
      <c r="J71" s="71" t="n">
        <v>5</v>
      </c>
      <c r="K71" s="51" t="inlineStr">
        <is>
          <t>#e23b3bff</t>
        </is>
      </c>
      <c r="L71" s="71" t="n">
        <v>1886</v>
      </c>
      <c r="M71" s="71" t="n">
        <v>1722</v>
      </c>
      <c r="N71" s="71" t="n">
        <v>-95</v>
      </c>
      <c r="O71" s="71" t="n">
        <v>180</v>
      </c>
      <c r="P71" s="71" t="n">
        <v>27</v>
      </c>
      <c r="Q71" t="inlineStr">
        <is>
          <t>N48/C6</t>
        </is>
      </c>
      <c r="R71" t="n">
        <v>1</v>
      </c>
      <c r="S71" t="inlineStr">
        <is>
          <t>button_connect</t>
        </is>
      </c>
      <c r="T71" t="inlineStr">
        <is>
          <t>PASS</t>
        </is>
      </c>
    </row>
    <row r="72">
      <c r="A72" s="71" t="n">
        <v>68</v>
      </c>
      <c r="B72" t="inlineStr">
        <is>
          <t>record_arm</t>
        </is>
      </c>
      <c r="C72" t="inlineStr">
        <is>
          <t>●</t>
        </is>
      </c>
      <c r="D72" t="inlineStr">
        <is>
          <t>Record Arm 7</t>
        </is>
      </c>
      <c r="E72" t="inlineStr">
        <is>
          <t>note</t>
        </is>
      </c>
      <c r="F72" s="71" t="n">
        <v>48</v>
      </c>
      <c r="G72" s="71" t="n">
        <v>7</v>
      </c>
      <c r="H72" t="inlineStr">
        <is>
          <t>N48/C7</t>
        </is>
      </c>
      <c r="I72" s="72" t="inlineStr">
        <is>
          <t>72057594037940374</t>
        </is>
      </c>
      <c r="J72" s="71" t="n">
        <v>5</v>
      </c>
      <c r="K72" s="51" t="inlineStr">
        <is>
          <t>#e23b3bff</t>
        </is>
      </c>
      <c r="L72" s="71" t="n">
        <v>2206</v>
      </c>
      <c r="M72" s="71" t="n">
        <v>1722</v>
      </c>
      <c r="N72" s="71" t="n">
        <v>35</v>
      </c>
      <c r="O72" s="71" t="n">
        <v>180</v>
      </c>
      <c r="P72" s="71" t="n">
        <v>27</v>
      </c>
      <c r="Q72" t="inlineStr">
        <is>
          <t>N48/C7</t>
        </is>
      </c>
      <c r="R72" t="n">
        <v>1</v>
      </c>
      <c r="S72" t="inlineStr">
        <is>
          <t>button_connect</t>
        </is>
      </c>
      <c r="T72" t="inlineStr">
        <is>
          <t>PASS</t>
        </is>
      </c>
    </row>
    <row r="73">
      <c r="A73" s="71" t="n">
        <v>69</v>
      </c>
      <c r="B73" t="inlineStr">
        <is>
          <t>record_arm</t>
        </is>
      </c>
      <c r="C73" t="inlineStr">
        <is>
          <t>●</t>
        </is>
      </c>
      <c r="D73" t="inlineStr">
        <is>
          <t>Record Arm 8</t>
        </is>
      </c>
      <c r="E73" t="inlineStr">
        <is>
          <t>note</t>
        </is>
      </c>
      <c r="F73" s="71" t="n">
        <v>48</v>
      </c>
      <c r="G73" s="71" t="n">
        <v>8</v>
      </c>
      <c r="H73" t="inlineStr">
        <is>
          <t>N48/C8</t>
        </is>
      </c>
      <c r="I73" s="72" t="inlineStr">
        <is>
          <t>72057594037940375</t>
        </is>
      </c>
      <c r="J73" s="71" t="n">
        <v>5</v>
      </c>
      <c r="K73" s="51" t="inlineStr">
        <is>
          <t>#e23b3bff</t>
        </is>
      </c>
      <c r="L73" s="71" t="n">
        <v>2526</v>
      </c>
      <c r="M73" s="71" t="n">
        <v>1722</v>
      </c>
      <c r="N73" s="71" t="n">
        <v>165</v>
      </c>
      <c r="O73" s="71" t="n">
        <v>180</v>
      </c>
      <c r="P73" s="71" t="n">
        <v>27</v>
      </c>
      <c r="Q73" t="inlineStr">
        <is>
          <t>N48/C8</t>
        </is>
      </c>
      <c r="R73" t="n">
        <v>1</v>
      </c>
      <c r="S73" t="inlineStr">
        <is>
          <t>button_connect</t>
        </is>
      </c>
      <c r="T73" t="inlineStr">
        <is>
          <t>PASS</t>
        </is>
      </c>
    </row>
    <row r="74">
      <c r="A74" s="71" t="n">
        <v>70</v>
      </c>
      <c r="B74" t="inlineStr">
        <is>
          <t>solo</t>
        </is>
      </c>
      <c r="C74" t="inlineStr">
        <is>
          <t>S</t>
        </is>
      </c>
      <c r="D74" t="inlineStr">
        <is>
          <t>Solo 1</t>
        </is>
      </c>
      <c r="E74" t="inlineStr">
        <is>
          <t>note</t>
        </is>
      </c>
      <c r="F74" s="71" t="n">
        <v>49</v>
      </c>
      <c r="G74" s="71" t="n">
        <v>1</v>
      </c>
      <c r="H74" t="inlineStr">
        <is>
          <t>N49/C1</t>
        </is>
      </c>
      <c r="I74" s="72" t="inlineStr">
        <is>
          <t>72057594037940624</t>
        </is>
      </c>
      <c r="J74" s="71" t="n">
        <v>127</v>
      </c>
      <c r="K74" s="42" t="inlineStr">
        <is>
          <t>#2b5bffff</t>
        </is>
      </c>
      <c r="L74" s="71" t="n">
        <v>164</v>
      </c>
      <c r="M74" s="71" t="n">
        <v>1722</v>
      </c>
      <c r="N74" s="71" t="n">
        <v>-793</v>
      </c>
      <c r="O74" s="71" t="n">
        <v>180</v>
      </c>
      <c r="P74" s="71" t="n">
        <v>27</v>
      </c>
      <c r="Q74" t="inlineStr">
        <is>
          <t>N49/C1</t>
        </is>
      </c>
      <c r="R74" t="n">
        <v>1</v>
      </c>
      <c r="S74" t="inlineStr">
        <is>
          <t>button_connect</t>
        </is>
      </c>
      <c r="T74" t="inlineStr">
        <is>
          <t>PASS</t>
        </is>
      </c>
    </row>
    <row r="75">
      <c r="A75" s="71" t="n">
        <v>71</v>
      </c>
      <c r="B75" t="inlineStr">
        <is>
          <t>solo</t>
        </is>
      </c>
      <c r="C75" t="inlineStr">
        <is>
          <t>S</t>
        </is>
      </c>
      <c r="D75" t="inlineStr">
        <is>
          <t>Solo 2</t>
        </is>
      </c>
      <c r="E75" t="inlineStr">
        <is>
          <t>note</t>
        </is>
      </c>
      <c r="F75" s="71" t="n">
        <v>49</v>
      </c>
      <c r="G75" s="71" t="n">
        <v>2</v>
      </c>
      <c r="H75" t="inlineStr">
        <is>
          <t>N49/C2</t>
        </is>
      </c>
      <c r="I75" s="72" t="inlineStr">
        <is>
          <t>72057594037940625</t>
        </is>
      </c>
      <c r="J75" s="71" t="n">
        <v>127</v>
      </c>
      <c r="K75" s="42" t="inlineStr">
        <is>
          <t>#2b5bffff</t>
        </is>
      </c>
      <c r="L75" s="71" t="n">
        <v>484</v>
      </c>
      <c r="M75" s="71" t="n">
        <v>1722</v>
      </c>
      <c r="N75" s="71" t="n">
        <v>-664</v>
      </c>
      <c r="O75" s="71" t="n">
        <v>180</v>
      </c>
      <c r="P75" s="71" t="n">
        <v>27</v>
      </c>
      <c r="Q75" t="inlineStr">
        <is>
          <t>N49/C2</t>
        </is>
      </c>
      <c r="R75" t="n">
        <v>1</v>
      </c>
      <c r="S75" t="inlineStr">
        <is>
          <t>button_connect</t>
        </is>
      </c>
      <c r="T75" t="inlineStr">
        <is>
          <t>PASS</t>
        </is>
      </c>
    </row>
    <row r="76">
      <c r="A76" s="71" t="n">
        <v>72</v>
      </c>
      <c r="B76" t="inlineStr">
        <is>
          <t>solo</t>
        </is>
      </c>
      <c r="C76" t="inlineStr">
        <is>
          <t>S</t>
        </is>
      </c>
      <c r="D76" t="inlineStr">
        <is>
          <t>Solo 3</t>
        </is>
      </c>
      <c r="E76" t="inlineStr">
        <is>
          <t>note</t>
        </is>
      </c>
      <c r="F76" s="71" t="n">
        <v>49</v>
      </c>
      <c r="G76" s="71" t="n">
        <v>3</v>
      </c>
      <c r="H76" t="inlineStr">
        <is>
          <t>N49/C3</t>
        </is>
      </c>
      <c r="I76" s="72" t="inlineStr">
        <is>
          <t>72057594037940626</t>
        </is>
      </c>
      <c r="J76" s="71" t="n">
        <v>127</v>
      </c>
      <c r="K76" s="42" t="inlineStr">
        <is>
          <t>#2b5bffff</t>
        </is>
      </c>
      <c r="L76" s="71" t="n">
        <v>804</v>
      </c>
      <c r="M76" s="71" t="n">
        <v>1722</v>
      </c>
      <c r="N76" s="71" t="n">
        <v>-534</v>
      </c>
      <c r="O76" s="71" t="n">
        <v>180</v>
      </c>
      <c r="P76" s="71" t="n">
        <v>27</v>
      </c>
      <c r="Q76" t="inlineStr">
        <is>
          <t>N49/C3</t>
        </is>
      </c>
      <c r="R76" t="n">
        <v>1</v>
      </c>
      <c r="S76" t="inlineStr">
        <is>
          <t>button_connect</t>
        </is>
      </c>
      <c r="T76" t="inlineStr">
        <is>
          <t>PASS</t>
        </is>
      </c>
    </row>
    <row r="77">
      <c r="A77" s="71" t="n">
        <v>73</v>
      </c>
      <c r="B77" t="inlineStr">
        <is>
          <t>solo</t>
        </is>
      </c>
      <c r="C77" t="inlineStr">
        <is>
          <t>S</t>
        </is>
      </c>
      <c r="D77" t="inlineStr">
        <is>
          <t>Solo 4</t>
        </is>
      </c>
      <c r="E77" t="inlineStr">
        <is>
          <t>note</t>
        </is>
      </c>
      <c r="F77" s="71" t="n">
        <v>49</v>
      </c>
      <c r="G77" s="71" t="n">
        <v>4</v>
      </c>
      <c r="H77" t="inlineStr">
        <is>
          <t>N49/C4</t>
        </is>
      </c>
      <c r="I77" s="72" t="inlineStr">
        <is>
          <t>72057594037940627</t>
        </is>
      </c>
      <c r="J77" s="71" t="n">
        <v>127</v>
      </c>
      <c r="K77" s="42" t="inlineStr">
        <is>
          <t>#2b5bffff</t>
        </is>
      </c>
      <c r="L77" s="71" t="n">
        <v>1124</v>
      </c>
      <c r="M77" s="71" t="n">
        <v>1722</v>
      </c>
      <c r="N77" s="71" t="n">
        <v>-404</v>
      </c>
      <c r="O77" s="71" t="n">
        <v>180</v>
      </c>
      <c r="P77" s="71" t="n">
        <v>27</v>
      </c>
      <c r="Q77" t="inlineStr">
        <is>
          <t>N49/C4</t>
        </is>
      </c>
      <c r="R77" t="n">
        <v>1</v>
      </c>
      <c r="S77" t="inlineStr">
        <is>
          <t>button_connect</t>
        </is>
      </c>
      <c r="T77" t="inlineStr">
        <is>
          <t>PASS</t>
        </is>
      </c>
    </row>
    <row r="78">
      <c r="A78" s="71" t="n">
        <v>74</v>
      </c>
      <c r="B78" t="inlineStr">
        <is>
          <t>solo</t>
        </is>
      </c>
      <c r="C78" t="inlineStr">
        <is>
          <t>S</t>
        </is>
      </c>
      <c r="D78" t="inlineStr">
        <is>
          <t>Solo 5</t>
        </is>
      </c>
      <c r="E78" t="inlineStr">
        <is>
          <t>note</t>
        </is>
      </c>
      <c r="F78" s="71" t="n">
        <v>49</v>
      </c>
      <c r="G78" s="71" t="n">
        <v>5</v>
      </c>
      <c r="H78" t="inlineStr">
        <is>
          <t>N49/C5</t>
        </is>
      </c>
      <c r="I78" s="72" t="inlineStr">
        <is>
          <t>72057594037940628</t>
        </is>
      </c>
      <c r="J78" s="71" t="n">
        <v>127</v>
      </c>
      <c r="K78" s="42" t="inlineStr">
        <is>
          <t>#2b5bffff</t>
        </is>
      </c>
      <c r="L78" s="71" t="n">
        <v>1444</v>
      </c>
      <c r="M78" s="71" t="n">
        <v>1722</v>
      </c>
      <c r="N78" s="71" t="n">
        <v>-274</v>
      </c>
      <c r="O78" s="71" t="n">
        <v>180</v>
      </c>
      <c r="P78" s="71" t="n">
        <v>27</v>
      </c>
      <c r="Q78" t="inlineStr">
        <is>
          <t>N49/C5</t>
        </is>
      </c>
      <c r="R78" t="n">
        <v>1</v>
      </c>
      <c r="S78" t="inlineStr">
        <is>
          <t>button_connect</t>
        </is>
      </c>
      <c r="T78" t="inlineStr">
        <is>
          <t>PASS</t>
        </is>
      </c>
    </row>
    <row r="79">
      <c r="A79" s="71" t="n">
        <v>75</v>
      </c>
      <c r="B79" t="inlineStr">
        <is>
          <t>solo</t>
        </is>
      </c>
      <c r="C79" t="inlineStr">
        <is>
          <t>S</t>
        </is>
      </c>
      <c r="D79" t="inlineStr">
        <is>
          <t>Solo 6</t>
        </is>
      </c>
      <c r="E79" t="inlineStr">
        <is>
          <t>note</t>
        </is>
      </c>
      <c r="F79" s="71" t="n">
        <v>49</v>
      </c>
      <c r="G79" s="71" t="n">
        <v>6</v>
      </c>
      <c r="H79" t="inlineStr">
        <is>
          <t>N49/C6</t>
        </is>
      </c>
      <c r="I79" s="72" t="inlineStr">
        <is>
          <t>72057594037940629</t>
        </is>
      </c>
      <c r="J79" s="71" t="n">
        <v>127</v>
      </c>
      <c r="K79" s="42" t="inlineStr">
        <is>
          <t>#2b5bffff</t>
        </is>
      </c>
      <c r="L79" s="71" t="n">
        <v>1764</v>
      </c>
      <c r="M79" s="71" t="n">
        <v>1722</v>
      </c>
      <c r="N79" s="71" t="n">
        <v>-144</v>
      </c>
      <c r="O79" s="71" t="n">
        <v>180</v>
      </c>
      <c r="P79" s="71" t="n">
        <v>27</v>
      </c>
      <c r="Q79" t="inlineStr">
        <is>
          <t>N49/C6</t>
        </is>
      </c>
      <c r="R79" t="n">
        <v>1</v>
      </c>
      <c r="S79" t="inlineStr">
        <is>
          <t>button_connect</t>
        </is>
      </c>
      <c r="T79" t="inlineStr">
        <is>
          <t>PASS</t>
        </is>
      </c>
    </row>
    <row r="80">
      <c r="A80" s="71" t="n">
        <v>76</v>
      </c>
      <c r="B80" t="inlineStr">
        <is>
          <t>solo</t>
        </is>
      </c>
      <c r="C80" t="inlineStr">
        <is>
          <t>S</t>
        </is>
      </c>
      <c r="D80" t="inlineStr">
        <is>
          <t>Solo 7</t>
        </is>
      </c>
      <c r="E80" t="inlineStr">
        <is>
          <t>note</t>
        </is>
      </c>
      <c r="F80" s="71" t="n">
        <v>49</v>
      </c>
      <c r="G80" s="71" t="n">
        <v>7</v>
      </c>
      <c r="H80" t="inlineStr">
        <is>
          <t>N49/C7</t>
        </is>
      </c>
      <c r="I80" s="72" t="inlineStr">
        <is>
          <t>72057594037940630</t>
        </is>
      </c>
      <c r="J80" s="71" t="n">
        <v>127</v>
      </c>
      <c r="K80" s="42" t="inlineStr">
        <is>
          <t>#2b5bffff</t>
        </is>
      </c>
      <c r="L80" s="71" t="n">
        <v>2084</v>
      </c>
      <c r="M80" s="71" t="n">
        <v>1722</v>
      </c>
      <c r="N80" s="71" t="n">
        <v>-15</v>
      </c>
      <c r="O80" s="71" t="n">
        <v>180</v>
      </c>
      <c r="P80" s="71" t="n">
        <v>27</v>
      </c>
      <c r="Q80" t="inlineStr">
        <is>
          <t>N49/C7</t>
        </is>
      </c>
      <c r="R80" t="n">
        <v>1</v>
      </c>
      <c r="S80" t="inlineStr">
        <is>
          <t>button_connect</t>
        </is>
      </c>
      <c r="T80" t="inlineStr">
        <is>
          <t>PASS</t>
        </is>
      </c>
    </row>
    <row r="81">
      <c r="A81" s="71" t="n">
        <v>77</v>
      </c>
      <c r="B81" t="inlineStr">
        <is>
          <t>solo</t>
        </is>
      </c>
      <c r="C81" t="inlineStr">
        <is>
          <t>S</t>
        </is>
      </c>
      <c r="D81" t="inlineStr">
        <is>
          <t>Solo 8</t>
        </is>
      </c>
      <c r="E81" t="inlineStr">
        <is>
          <t>note</t>
        </is>
      </c>
      <c r="F81" s="71" t="n">
        <v>49</v>
      </c>
      <c r="G81" s="71" t="n">
        <v>8</v>
      </c>
      <c r="H81" t="inlineStr">
        <is>
          <t>N49/C8</t>
        </is>
      </c>
      <c r="I81" s="72" t="inlineStr">
        <is>
          <t>72057594037940631</t>
        </is>
      </c>
      <c r="J81" s="71" t="n">
        <v>127</v>
      </c>
      <c r="K81" s="42" t="inlineStr">
        <is>
          <t>#2b5bffff</t>
        </is>
      </c>
      <c r="L81" s="71" t="n">
        <v>2404</v>
      </c>
      <c r="M81" s="71" t="n">
        <v>1722</v>
      </c>
      <c r="N81" s="71" t="n">
        <v>115</v>
      </c>
      <c r="O81" s="71" t="n">
        <v>180</v>
      </c>
      <c r="P81" s="71" t="n">
        <v>27</v>
      </c>
      <c r="Q81" t="inlineStr">
        <is>
          <t>N49/C8</t>
        </is>
      </c>
      <c r="R81" t="n">
        <v>1</v>
      </c>
      <c r="S81" t="inlineStr">
        <is>
          <t>button_connect</t>
        </is>
      </c>
      <c r="T81" t="inlineStr">
        <is>
          <t>PASS</t>
        </is>
      </c>
    </row>
    <row r="82">
      <c r="A82" s="71" t="n">
        <v>78</v>
      </c>
      <c r="B82" t="inlineStr">
        <is>
          <t>activator</t>
        </is>
      </c>
      <c r="C82" t="inlineStr">
        <is>
          <t>1</t>
        </is>
      </c>
      <c r="D82" t="inlineStr">
        <is>
          <t>Activator 1</t>
        </is>
      </c>
      <c r="E82" t="inlineStr">
        <is>
          <t>note</t>
        </is>
      </c>
      <c r="F82" s="71" t="n">
        <v>50</v>
      </c>
      <c r="G82" s="71" t="n">
        <v>1</v>
      </c>
      <c r="H82" t="inlineStr">
        <is>
          <t>N50/C1</t>
        </is>
      </c>
      <c r="I82" s="72" t="inlineStr">
        <is>
          <t>72057594037940880</t>
        </is>
      </c>
      <c r="J82" s="71" t="n">
        <v>21</v>
      </c>
      <c r="K82" s="54" t="inlineStr">
        <is>
          <t>#f08a24ff</t>
        </is>
      </c>
      <c r="L82" s="71" t="n">
        <v>164</v>
      </c>
      <c r="M82" s="71" t="n">
        <v>1602</v>
      </c>
      <c r="N82" s="71" t="n">
        <v>-793</v>
      </c>
      <c r="O82" s="71" t="n">
        <v>133</v>
      </c>
      <c r="P82" s="71" t="n">
        <v>27</v>
      </c>
      <c r="Q82" t="inlineStr">
        <is>
          <t>N50/C1</t>
        </is>
      </c>
      <c r="R82" t="n">
        <v>1</v>
      </c>
      <c r="S82" t="inlineStr">
        <is>
          <t>button_connect</t>
        </is>
      </c>
      <c r="T82" t="inlineStr">
        <is>
          <t>PASS</t>
        </is>
      </c>
    </row>
    <row r="83">
      <c r="A83" s="71" t="n">
        <v>79</v>
      </c>
      <c r="B83" t="inlineStr">
        <is>
          <t>activator</t>
        </is>
      </c>
      <c r="C83" t="inlineStr">
        <is>
          <t>2</t>
        </is>
      </c>
      <c r="D83" t="inlineStr">
        <is>
          <t>Activator 2</t>
        </is>
      </c>
      <c r="E83" t="inlineStr">
        <is>
          <t>note</t>
        </is>
      </c>
      <c r="F83" s="71" t="n">
        <v>50</v>
      </c>
      <c r="G83" s="71" t="n">
        <v>2</v>
      </c>
      <c r="H83" t="inlineStr">
        <is>
          <t>N50/C2</t>
        </is>
      </c>
      <c r="I83" s="72" t="inlineStr">
        <is>
          <t>72057594037940881</t>
        </is>
      </c>
      <c r="J83" s="71" t="n">
        <v>21</v>
      </c>
      <c r="K83" s="54" t="inlineStr">
        <is>
          <t>#f08a24ff</t>
        </is>
      </c>
      <c r="L83" s="71" t="n">
        <v>484</v>
      </c>
      <c r="M83" s="71" t="n">
        <v>1602</v>
      </c>
      <c r="N83" s="71" t="n">
        <v>-664</v>
      </c>
      <c r="O83" s="71" t="n">
        <v>133</v>
      </c>
      <c r="P83" s="71" t="n">
        <v>27</v>
      </c>
      <c r="Q83" t="inlineStr">
        <is>
          <t>N50/C2</t>
        </is>
      </c>
      <c r="R83" t="n">
        <v>1</v>
      </c>
      <c r="S83" t="inlineStr">
        <is>
          <t>button_connect</t>
        </is>
      </c>
      <c r="T83" t="inlineStr">
        <is>
          <t>PASS</t>
        </is>
      </c>
    </row>
    <row r="84">
      <c r="A84" s="71" t="n">
        <v>80</v>
      </c>
      <c r="B84" t="inlineStr">
        <is>
          <t>activator</t>
        </is>
      </c>
      <c r="C84" t="inlineStr">
        <is>
          <t>3</t>
        </is>
      </c>
      <c r="D84" t="inlineStr">
        <is>
          <t>Activator 3</t>
        </is>
      </c>
      <c r="E84" t="inlineStr">
        <is>
          <t>note</t>
        </is>
      </c>
      <c r="F84" s="71" t="n">
        <v>50</v>
      </c>
      <c r="G84" s="71" t="n">
        <v>3</v>
      </c>
      <c r="H84" t="inlineStr">
        <is>
          <t>N50/C3</t>
        </is>
      </c>
      <c r="I84" s="72" t="inlineStr">
        <is>
          <t>72057594037940882</t>
        </is>
      </c>
      <c r="J84" s="71" t="n">
        <v>21</v>
      </c>
      <c r="K84" s="54" t="inlineStr">
        <is>
          <t>#f08a24ff</t>
        </is>
      </c>
      <c r="L84" s="71" t="n">
        <v>804</v>
      </c>
      <c r="M84" s="71" t="n">
        <v>1602</v>
      </c>
      <c r="N84" s="71" t="n">
        <v>-534</v>
      </c>
      <c r="O84" s="71" t="n">
        <v>133</v>
      </c>
      <c r="P84" s="71" t="n">
        <v>27</v>
      </c>
      <c r="Q84" t="inlineStr">
        <is>
          <t>N50/C3</t>
        </is>
      </c>
      <c r="R84" t="n">
        <v>1</v>
      </c>
      <c r="S84" t="inlineStr">
        <is>
          <t>button_connect</t>
        </is>
      </c>
      <c r="T84" t="inlineStr">
        <is>
          <t>PASS</t>
        </is>
      </c>
    </row>
    <row r="85">
      <c r="A85" s="71" t="n">
        <v>81</v>
      </c>
      <c r="B85" t="inlineStr">
        <is>
          <t>activator</t>
        </is>
      </c>
      <c r="C85" t="inlineStr">
        <is>
          <t>4</t>
        </is>
      </c>
      <c r="D85" t="inlineStr">
        <is>
          <t>Activator 4</t>
        </is>
      </c>
      <c r="E85" t="inlineStr">
        <is>
          <t>note</t>
        </is>
      </c>
      <c r="F85" s="71" t="n">
        <v>50</v>
      </c>
      <c r="G85" s="71" t="n">
        <v>4</v>
      </c>
      <c r="H85" t="inlineStr">
        <is>
          <t>N50/C4</t>
        </is>
      </c>
      <c r="I85" s="72" t="inlineStr">
        <is>
          <t>72057594037940883</t>
        </is>
      </c>
      <c r="J85" s="71" t="n">
        <v>21</v>
      </c>
      <c r="K85" s="54" t="inlineStr">
        <is>
          <t>#f08a24ff</t>
        </is>
      </c>
      <c r="L85" s="71" t="n">
        <v>1124</v>
      </c>
      <c r="M85" s="71" t="n">
        <v>1602</v>
      </c>
      <c r="N85" s="71" t="n">
        <v>-404</v>
      </c>
      <c r="O85" s="71" t="n">
        <v>133</v>
      </c>
      <c r="P85" s="71" t="n">
        <v>27</v>
      </c>
      <c r="Q85" t="inlineStr">
        <is>
          <t>N50/C4</t>
        </is>
      </c>
      <c r="R85" t="n">
        <v>1</v>
      </c>
      <c r="S85" t="inlineStr">
        <is>
          <t>button_connect</t>
        </is>
      </c>
      <c r="T85" t="inlineStr">
        <is>
          <t>PASS</t>
        </is>
      </c>
    </row>
    <row r="86">
      <c r="A86" s="71" t="n">
        <v>82</v>
      </c>
      <c r="B86" t="inlineStr">
        <is>
          <t>activator</t>
        </is>
      </c>
      <c r="C86" t="inlineStr">
        <is>
          <t>5</t>
        </is>
      </c>
      <c r="D86" t="inlineStr">
        <is>
          <t>Activator 5</t>
        </is>
      </c>
      <c r="E86" t="inlineStr">
        <is>
          <t>note</t>
        </is>
      </c>
      <c r="F86" s="71" t="n">
        <v>50</v>
      </c>
      <c r="G86" s="71" t="n">
        <v>5</v>
      </c>
      <c r="H86" t="inlineStr">
        <is>
          <t>N50/C5</t>
        </is>
      </c>
      <c r="I86" s="72" t="inlineStr">
        <is>
          <t>72057594037940884</t>
        </is>
      </c>
      <c r="J86" s="71" t="n">
        <v>21</v>
      </c>
      <c r="K86" s="54" t="inlineStr">
        <is>
          <t>#f08a24ff</t>
        </is>
      </c>
      <c r="L86" s="71" t="n">
        <v>1444</v>
      </c>
      <c r="M86" s="71" t="n">
        <v>1602</v>
      </c>
      <c r="N86" s="71" t="n">
        <v>-274</v>
      </c>
      <c r="O86" s="71" t="n">
        <v>133</v>
      </c>
      <c r="P86" s="71" t="n">
        <v>27</v>
      </c>
      <c r="Q86" t="inlineStr">
        <is>
          <t>N50/C5</t>
        </is>
      </c>
      <c r="R86" t="n">
        <v>1</v>
      </c>
      <c r="S86" t="inlineStr">
        <is>
          <t>button_connect</t>
        </is>
      </c>
      <c r="T86" t="inlineStr">
        <is>
          <t>PASS</t>
        </is>
      </c>
    </row>
    <row r="87">
      <c r="A87" s="71" t="n">
        <v>83</v>
      </c>
      <c r="B87" t="inlineStr">
        <is>
          <t>activator</t>
        </is>
      </c>
      <c r="C87" t="inlineStr">
        <is>
          <t>6</t>
        </is>
      </c>
      <c r="D87" t="inlineStr">
        <is>
          <t>Activator 6</t>
        </is>
      </c>
      <c r="E87" t="inlineStr">
        <is>
          <t>note</t>
        </is>
      </c>
      <c r="F87" s="71" t="n">
        <v>50</v>
      </c>
      <c r="G87" s="71" t="n">
        <v>6</v>
      </c>
      <c r="H87" t="inlineStr">
        <is>
          <t>N50/C6</t>
        </is>
      </c>
      <c r="I87" s="72" t="inlineStr">
        <is>
          <t>72057594037940885</t>
        </is>
      </c>
      <c r="J87" s="71" t="n">
        <v>21</v>
      </c>
      <c r="K87" s="54" t="inlineStr">
        <is>
          <t>#f08a24ff</t>
        </is>
      </c>
      <c r="L87" s="71" t="n">
        <v>1764</v>
      </c>
      <c r="M87" s="71" t="n">
        <v>1602</v>
      </c>
      <c r="N87" s="71" t="n">
        <v>-144</v>
      </c>
      <c r="O87" s="71" t="n">
        <v>133</v>
      </c>
      <c r="P87" s="71" t="n">
        <v>27</v>
      </c>
      <c r="Q87" t="inlineStr">
        <is>
          <t>N50/C6</t>
        </is>
      </c>
      <c r="R87" t="n">
        <v>1</v>
      </c>
      <c r="S87" t="inlineStr">
        <is>
          <t>button_connect</t>
        </is>
      </c>
      <c r="T87" t="inlineStr">
        <is>
          <t>PASS</t>
        </is>
      </c>
    </row>
    <row r="88">
      <c r="A88" s="71" t="n">
        <v>84</v>
      </c>
      <c r="B88" t="inlineStr">
        <is>
          <t>activator</t>
        </is>
      </c>
      <c r="C88" t="inlineStr">
        <is>
          <t>7</t>
        </is>
      </c>
      <c r="D88" t="inlineStr">
        <is>
          <t>Activator 7</t>
        </is>
      </c>
      <c r="E88" t="inlineStr">
        <is>
          <t>note</t>
        </is>
      </c>
      <c r="F88" s="71" t="n">
        <v>50</v>
      </c>
      <c r="G88" s="71" t="n">
        <v>7</v>
      </c>
      <c r="H88" t="inlineStr">
        <is>
          <t>N50/C7</t>
        </is>
      </c>
      <c r="I88" s="72" t="inlineStr">
        <is>
          <t>72057594037940886</t>
        </is>
      </c>
      <c r="J88" s="71" t="n">
        <v>21</v>
      </c>
      <c r="K88" s="54" t="inlineStr">
        <is>
          <t>#f08a24ff</t>
        </is>
      </c>
      <c r="L88" s="71" t="n">
        <v>2084</v>
      </c>
      <c r="M88" s="71" t="n">
        <v>1602</v>
      </c>
      <c r="N88" s="71" t="n">
        <v>-15</v>
      </c>
      <c r="O88" s="71" t="n">
        <v>133</v>
      </c>
      <c r="P88" s="71" t="n">
        <v>27</v>
      </c>
      <c r="Q88" t="inlineStr">
        <is>
          <t>N50/C7</t>
        </is>
      </c>
      <c r="R88" t="n">
        <v>1</v>
      </c>
      <c r="S88" t="inlineStr">
        <is>
          <t>button_connect</t>
        </is>
      </c>
      <c r="T88" t="inlineStr">
        <is>
          <t>PASS</t>
        </is>
      </c>
    </row>
    <row r="89">
      <c r="A89" s="71" t="n">
        <v>85</v>
      </c>
      <c r="B89" t="inlineStr">
        <is>
          <t>activator</t>
        </is>
      </c>
      <c r="C89" t="inlineStr">
        <is>
          <t>8</t>
        </is>
      </c>
      <c r="D89" t="inlineStr">
        <is>
          <t>Activator 8</t>
        </is>
      </c>
      <c r="E89" t="inlineStr">
        <is>
          <t>note</t>
        </is>
      </c>
      <c r="F89" s="71" t="n">
        <v>50</v>
      </c>
      <c r="G89" s="71" t="n">
        <v>8</v>
      </c>
      <c r="H89" t="inlineStr">
        <is>
          <t>N50/C8</t>
        </is>
      </c>
      <c r="I89" s="72" t="inlineStr">
        <is>
          <t>72057594037940887</t>
        </is>
      </c>
      <c r="J89" s="71" t="n">
        <v>21</v>
      </c>
      <c r="K89" s="54" t="inlineStr">
        <is>
          <t>#f08a24ff</t>
        </is>
      </c>
      <c r="L89" s="71" t="n">
        <v>2404</v>
      </c>
      <c r="M89" s="71" t="n">
        <v>1602</v>
      </c>
      <c r="N89" s="71" t="n">
        <v>115</v>
      </c>
      <c r="O89" s="71" t="n">
        <v>133</v>
      </c>
      <c r="P89" s="71" t="n">
        <v>27</v>
      </c>
      <c r="Q89" t="inlineStr">
        <is>
          <t>N50/C8</t>
        </is>
      </c>
      <c r="R89" t="n">
        <v>1</v>
      </c>
      <c r="S89" t="inlineStr">
        <is>
          <t>button_connect</t>
        </is>
      </c>
      <c r="T89" t="inlineStr">
        <is>
          <t>PASS</t>
        </is>
      </c>
    </row>
    <row r="90">
      <c r="A90" s="71" t="n">
        <v>86</v>
      </c>
      <c r="B90" t="inlineStr">
        <is>
          <t>crossfade_assign</t>
        </is>
      </c>
      <c r="C90" t="inlineStr">
        <is>
          <t>A/B</t>
        </is>
      </c>
      <c r="D90" t="inlineStr">
        <is>
          <t>Crossfade A B 1</t>
        </is>
      </c>
      <c r="E90" t="inlineStr">
        <is>
          <t>note</t>
        </is>
      </c>
      <c r="F90" s="71" t="n">
        <v>66</v>
      </c>
      <c r="G90" s="71" t="n">
        <v>1</v>
      </c>
      <c r="H90" t="inlineStr">
        <is>
          <t>N66/C1</t>
        </is>
      </c>
      <c r="I90" s="72" t="inlineStr">
        <is>
          <t>72057594037944976</t>
        </is>
      </c>
      <c r="J90" s="71" t="n">
        <v>9</v>
      </c>
      <c r="K90" s="54" t="inlineStr">
        <is>
          <t>#f08a24ff</t>
        </is>
      </c>
      <c r="L90" s="71" t="n">
        <v>286</v>
      </c>
      <c r="M90" s="71" t="n">
        <v>1602</v>
      </c>
      <c r="N90" s="71" t="n">
        <v>-744</v>
      </c>
      <c r="O90" s="71" t="n">
        <v>133</v>
      </c>
      <c r="P90" s="71" t="n">
        <v>27</v>
      </c>
      <c r="Q90" t="inlineStr">
        <is>
          <t>N66/C1</t>
        </is>
      </c>
      <c r="R90" t="n">
        <v>1</v>
      </c>
      <c r="S90" t="inlineStr">
        <is>
          <t>button_connect</t>
        </is>
      </c>
      <c r="T90" t="inlineStr">
        <is>
          <t>PASS</t>
        </is>
      </c>
    </row>
    <row r="91">
      <c r="A91" s="71" t="n">
        <v>87</v>
      </c>
      <c r="B91" t="inlineStr">
        <is>
          <t>crossfade_assign</t>
        </is>
      </c>
      <c r="C91" t="inlineStr">
        <is>
          <t>A/B</t>
        </is>
      </c>
      <c r="D91" t="inlineStr">
        <is>
          <t>Crossfade A B 2</t>
        </is>
      </c>
      <c r="E91" t="inlineStr">
        <is>
          <t>note</t>
        </is>
      </c>
      <c r="F91" s="71" t="n">
        <v>66</v>
      </c>
      <c r="G91" s="71" t="n">
        <v>2</v>
      </c>
      <c r="H91" t="inlineStr">
        <is>
          <t>N66/C2</t>
        </is>
      </c>
      <c r="I91" s="72" t="inlineStr">
        <is>
          <t>72057594037944977</t>
        </is>
      </c>
      <c r="J91" s="71" t="n">
        <v>9</v>
      </c>
      <c r="K91" s="54" t="inlineStr">
        <is>
          <t>#f08a24ff</t>
        </is>
      </c>
      <c r="L91" s="71" t="n">
        <v>606</v>
      </c>
      <c r="M91" s="71" t="n">
        <v>1602</v>
      </c>
      <c r="N91" s="71" t="n">
        <v>-614</v>
      </c>
      <c r="O91" s="71" t="n">
        <v>133</v>
      </c>
      <c r="P91" s="71" t="n">
        <v>27</v>
      </c>
      <c r="Q91" t="inlineStr">
        <is>
          <t>N66/C2</t>
        </is>
      </c>
      <c r="R91" t="n">
        <v>1</v>
      </c>
      <c r="S91" t="inlineStr">
        <is>
          <t>button_connect</t>
        </is>
      </c>
      <c r="T91" t="inlineStr">
        <is>
          <t>PASS</t>
        </is>
      </c>
    </row>
    <row r="92">
      <c r="A92" s="71" t="n">
        <v>88</v>
      </c>
      <c r="B92" t="inlineStr">
        <is>
          <t>crossfade_assign</t>
        </is>
      </c>
      <c r="C92" t="inlineStr">
        <is>
          <t>A/B</t>
        </is>
      </c>
      <c r="D92" t="inlineStr">
        <is>
          <t>Crossfade A B 3</t>
        </is>
      </c>
      <c r="E92" t="inlineStr">
        <is>
          <t>note</t>
        </is>
      </c>
      <c r="F92" s="71" t="n">
        <v>66</v>
      </c>
      <c r="G92" s="71" t="n">
        <v>3</v>
      </c>
      <c r="H92" t="inlineStr">
        <is>
          <t>N66/C3</t>
        </is>
      </c>
      <c r="I92" s="72" t="inlineStr">
        <is>
          <t>72057594037944978</t>
        </is>
      </c>
      <c r="J92" s="71" t="n">
        <v>9</v>
      </c>
      <c r="K92" s="54" t="inlineStr">
        <is>
          <t>#f08a24ff</t>
        </is>
      </c>
      <c r="L92" s="71" t="n">
        <v>926</v>
      </c>
      <c r="M92" s="71" t="n">
        <v>1602</v>
      </c>
      <c r="N92" s="71" t="n">
        <v>-484</v>
      </c>
      <c r="O92" s="71" t="n">
        <v>133</v>
      </c>
      <c r="P92" s="71" t="n">
        <v>27</v>
      </c>
      <c r="Q92" t="inlineStr">
        <is>
          <t>N66/C3</t>
        </is>
      </c>
      <c r="R92" t="n">
        <v>1</v>
      </c>
      <c r="S92" t="inlineStr">
        <is>
          <t>button_connect</t>
        </is>
      </c>
      <c r="T92" t="inlineStr">
        <is>
          <t>PASS</t>
        </is>
      </c>
    </row>
    <row r="93">
      <c r="A93" s="71" t="n">
        <v>89</v>
      </c>
      <c r="B93" t="inlineStr">
        <is>
          <t>crossfade_assign</t>
        </is>
      </c>
      <c r="C93" t="inlineStr">
        <is>
          <t>A/B</t>
        </is>
      </c>
      <c r="D93" t="inlineStr">
        <is>
          <t>Crossfade A B 4</t>
        </is>
      </c>
      <c r="E93" t="inlineStr">
        <is>
          <t>note</t>
        </is>
      </c>
      <c r="F93" s="71" t="n">
        <v>66</v>
      </c>
      <c r="G93" s="71" t="n">
        <v>4</v>
      </c>
      <c r="H93" t="inlineStr">
        <is>
          <t>N66/C4</t>
        </is>
      </c>
      <c r="I93" s="72" t="inlineStr">
        <is>
          <t>72057594037944979</t>
        </is>
      </c>
      <c r="J93" s="71" t="n">
        <v>9</v>
      </c>
      <c r="K93" s="54" t="inlineStr">
        <is>
          <t>#f08a24ff</t>
        </is>
      </c>
      <c r="L93" s="71" t="n">
        <v>1246</v>
      </c>
      <c r="M93" s="71" t="n">
        <v>1602</v>
      </c>
      <c r="N93" s="71" t="n">
        <v>-355</v>
      </c>
      <c r="O93" s="71" t="n">
        <v>133</v>
      </c>
      <c r="P93" s="71" t="n">
        <v>27</v>
      </c>
      <c r="Q93" t="inlineStr">
        <is>
          <t>N66/C4</t>
        </is>
      </c>
      <c r="R93" t="n">
        <v>1</v>
      </c>
      <c r="S93" t="inlineStr">
        <is>
          <t>button_connect</t>
        </is>
      </c>
      <c r="T93" t="inlineStr">
        <is>
          <t>PASS</t>
        </is>
      </c>
    </row>
    <row r="94">
      <c r="A94" s="71" t="n">
        <v>90</v>
      </c>
      <c r="B94" t="inlineStr">
        <is>
          <t>crossfade_assign</t>
        </is>
      </c>
      <c r="C94" t="inlineStr">
        <is>
          <t>A/B</t>
        </is>
      </c>
      <c r="D94" t="inlineStr">
        <is>
          <t>Crossfade A B 5</t>
        </is>
      </c>
      <c r="E94" t="inlineStr">
        <is>
          <t>note</t>
        </is>
      </c>
      <c r="F94" s="71" t="n">
        <v>66</v>
      </c>
      <c r="G94" s="71" t="n">
        <v>5</v>
      </c>
      <c r="H94" t="inlineStr">
        <is>
          <t>N66/C5</t>
        </is>
      </c>
      <c r="I94" s="72" t="inlineStr">
        <is>
          <t>72057594037944980</t>
        </is>
      </c>
      <c r="J94" s="71" t="n">
        <v>9</v>
      </c>
      <c r="K94" s="54" t="inlineStr">
        <is>
          <t>#f08a24ff</t>
        </is>
      </c>
      <c r="L94" s="71" t="n">
        <v>1566</v>
      </c>
      <c r="M94" s="71" t="n">
        <v>1602</v>
      </c>
      <c r="N94" s="71" t="n">
        <v>-225</v>
      </c>
      <c r="O94" s="71" t="n">
        <v>133</v>
      </c>
      <c r="P94" s="71" t="n">
        <v>27</v>
      </c>
      <c r="Q94" t="inlineStr">
        <is>
          <t>N66/C5</t>
        </is>
      </c>
      <c r="R94" t="n">
        <v>1</v>
      </c>
      <c r="S94" t="inlineStr">
        <is>
          <t>button_connect</t>
        </is>
      </c>
      <c r="T94" t="inlineStr">
        <is>
          <t>PASS</t>
        </is>
      </c>
    </row>
    <row r="95">
      <c r="A95" s="71" t="n">
        <v>91</v>
      </c>
      <c r="B95" t="inlineStr">
        <is>
          <t>crossfade_assign</t>
        </is>
      </c>
      <c r="C95" t="inlineStr">
        <is>
          <t>A/B</t>
        </is>
      </c>
      <c r="D95" t="inlineStr">
        <is>
          <t>Crossfade A B 6</t>
        </is>
      </c>
      <c r="E95" t="inlineStr">
        <is>
          <t>note</t>
        </is>
      </c>
      <c r="F95" s="71" t="n">
        <v>66</v>
      </c>
      <c r="G95" s="71" t="n">
        <v>6</v>
      </c>
      <c r="H95" t="inlineStr">
        <is>
          <t>N66/C6</t>
        </is>
      </c>
      <c r="I95" s="72" t="inlineStr">
        <is>
          <t>72057594037944981</t>
        </is>
      </c>
      <c r="J95" s="71" t="n">
        <v>9</v>
      </c>
      <c r="K95" s="54" t="inlineStr">
        <is>
          <t>#f08a24ff</t>
        </is>
      </c>
      <c r="L95" s="71" t="n">
        <v>1886</v>
      </c>
      <c r="M95" s="71" t="n">
        <v>1602</v>
      </c>
      <c r="N95" s="71" t="n">
        <v>-95</v>
      </c>
      <c r="O95" s="71" t="n">
        <v>133</v>
      </c>
      <c r="P95" s="71" t="n">
        <v>27</v>
      </c>
      <c r="Q95" t="inlineStr">
        <is>
          <t>N66/C6</t>
        </is>
      </c>
      <c r="R95" t="n">
        <v>1</v>
      </c>
      <c r="S95" t="inlineStr">
        <is>
          <t>button_connect</t>
        </is>
      </c>
      <c r="T95" t="inlineStr">
        <is>
          <t>PASS</t>
        </is>
      </c>
    </row>
    <row r="96">
      <c r="A96" s="71" t="n">
        <v>92</v>
      </c>
      <c r="B96" t="inlineStr">
        <is>
          <t>crossfade_assign</t>
        </is>
      </c>
      <c r="C96" t="inlineStr">
        <is>
          <t>A/B</t>
        </is>
      </c>
      <c r="D96" t="inlineStr">
        <is>
          <t>Crossfade A B 7</t>
        </is>
      </c>
      <c r="E96" t="inlineStr">
        <is>
          <t>note</t>
        </is>
      </c>
      <c r="F96" s="71" t="n">
        <v>66</v>
      </c>
      <c r="G96" s="71" t="n">
        <v>7</v>
      </c>
      <c r="H96" t="inlineStr">
        <is>
          <t>N66/C7</t>
        </is>
      </c>
      <c r="I96" s="72" t="inlineStr">
        <is>
          <t>72057594037944982</t>
        </is>
      </c>
      <c r="J96" s="71" t="n">
        <v>9</v>
      </c>
      <c r="K96" s="54" t="inlineStr">
        <is>
          <t>#f08a24ff</t>
        </is>
      </c>
      <c r="L96" s="71" t="n">
        <v>2206</v>
      </c>
      <c r="M96" s="71" t="n">
        <v>1602</v>
      </c>
      <c r="N96" s="71" t="n">
        <v>35</v>
      </c>
      <c r="O96" s="71" t="n">
        <v>133</v>
      </c>
      <c r="P96" s="71" t="n">
        <v>27</v>
      </c>
      <c r="Q96" t="inlineStr">
        <is>
          <t>N66/C7</t>
        </is>
      </c>
      <c r="R96" t="n">
        <v>1</v>
      </c>
      <c r="S96" t="inlineStr">
        <is>
          <t>button_connect</t>
        </is>
      </c>
      <c r="T96" t="inlineStr">
        <is>
          <t>PASS</t>
        </is>
      </c>
    </row>
    <row r="97">
      <c r="A97" s="71" t="n">
        <v>93</v>
      </c>
      <c r="B97" t="inlineStr">
        <is>
          <t>crossfade_assign</t>
        </is>
      </c>
      <c r="C97" t="inlineStr">
        <is>
          <t>A/B</t>
        </is>
      </c>
      <c r="D97" t="inlineStr">
        <is>
          <t>Crossfade A B 8</t>
        </is>
      </c>
      <c r="E97" t="inlineStr">
        <is>
          <t>note</t>
        </is>
      </c>
      <c r="F97" s="71" t="n">
        <v>66</v>
      </c>
      <c r="G97" s="71" t="n">
        <v>8</v>
      </c>
      <c r="H97" t="inlineStr">
        <is>
          <t>N66/C8</t>
        </is>
      </c>
      <c r="I97" s="72" t="inlineStr">
        <is>
          <t>72057594037944983</t>
        </is>
      </c>
      <c r="J97" s="71" t="n">
        <v>9</v>
      </c>
      <c r="K97" s="54" t="inlineStr">
        <is>
          <t>#f08a24ff</t>
        </is>
      </c>
      <c r="L97" s="71" t="n">
        <v>2526</v>
      </c>
      <c r="M97" s="71" t="n">
        <v>1602</v>
      </c>
      <c r="N97" s="71" t="n">
        <v>165</v>
      </c>
      <c r="O97" s="71" t="n">
        <v>133</v>
      </c>
      <c r="P97" s="71" t="n">
        <v>27</v>
      </c>
      <c r="Q97" t="inlineStr">
        <is>
          <t>N66/C8</t>
        </is>
      </c>
      <c r="R97" t="n">
        <v>1</v>
      </c>
      <c r="S97" t="inlineStr">
        <is>
          <t>button_connect</t>
        </is>
      </c>
      <c r="T97" t="inlineStr">
        <is>
          <t>PASS</t>
        </is>
      </c>
    </row>
    <row r="98">
      <c r="A98" s="71" t="n">
        <v>94</v>
      </c>
      <c r="B98" t="inlineStr">
        <is>
          <t>track_fader</t>
        </is>
      </c>
      <c r="C98" t="inlineStr">
        <is>
          <t>FADER1</t>
        </is>
      </c>
      <c r="D98" t="inlineStr">
        <is>
          <t>Track Fader 1</t>
        </is>
      </c>
      <c r="E98" t="inlineStr">
        <is>
          <t>cc</t>
        </is>
      </c>
      <c r="F98" s="71" t="n">
        <v>7</v>
      </c>
      <c r="G98" s="71" t="n">
        <v>1</v>
      </c>
      <c r="H98" t="inlineStr">
        <is>
          <t>CC7/C1</t>
        </is>
      </c>
      <c r="I98" s="72" t="inlineStr">
        <is>
          <t>144115188075857840</t>
        </is>
      </c>
      <c r="J98" s="71" t="n">
        <v>0</v>
      </c>
      <c r="K98" s="63" t="inlineStr">
        <is>
          <t>#e6e6e6ff</t>
        </is>
      </c>
      <c r="L98" s="71" t="n">
        <v>225</v>
      </c>
      <c r="M98" s="71" t="n">
        <v>2180</v>
      </c>
      <c r="N98" s="71" t="n">
        <v>-769</v>
      </c>
      <c r="O98" s="71" t="n">
        <v>358</v>
      </c>
      <c r="P98" s="71" t="n">
        <v>40</v>
      </c>
      <c r="Q98" t="inlineStr">
        <is>
          <t>CC7/C1</t>
        </is>
      </c>
      <c r="R98" t="n">
        <v>3</v>
      </c>
      <c r="S98" t="inlineStr">
        <is>
          <t>wake, opacity, motion_y</t>
        </is>
      </c>
      <c r="T98" t="inlineStr">
        <is>
          <t>PASS</t>
        </is>
      </c>
    </row>
    <row r="99">
      <c r="A99" s="71" t="n">
        <v>95</v>
      </c>
      <c r="B99" t="inlineStr">
        <is>
          <t>track_fader</t>
        </is>
      </c>
      <c r="C99" t="inlineStr">
        <is>
          <t>FADER2</t>
        </is>
      </c>
      <c r="D99" t="inlineStr">
        <is>
          <t>Track Fader 2</t>
        </is>
      </c>
      <c r="E99" t="inlineStr">
        <is>
          <t>cc</t>
        </is>
      </c>
      <c r="F99" s="71" t="n">
        <v>7</v>
      </c>
      <c r="G99" s="71" t="n">
        <v>2</v>
      </c>
      <c r="H99" t="inlineStr">
        <is>
          <t>CC7/C2</t>
        </is>
      </c>
      <c r="I99" s="72" t="inlineStr">
        <is>
          <t>144115188075857841</t>
        </is>
      </c>
      <c r="J99" s="71" t="n">
        <v>0</v>
      </c>
      <c r="K99" s="63" t="inlineStr">
        <is>
          <t>#e6e6e6ff</t>
        </is>
      </c>
      <c r="L99" s="71" t="n">
        <v>545</v>
      </c>
      <c r="M99" s="71" t="n">
        <v>2180</v>
      </c>
      <c r="N99" s="71" t="n">
        <v>-639</v>
      </c>
      <c r="O99" s="71" t="n">
        <v>358</v>
      </c>
      <c r="P99" s="71" t="n">
        <v>40</v>
      </c>
      <c r="Q99" t="inlineStr">
        <is>
          <t>CC7/C2</t>
        </is>
      </c>
      <c r="R99" t="n">
        <v>3</v>
      </c>
      <c r="S99" t="inlineStr">
        <is>
          <t>wake, opacity, motion_y</t>
        </is>
      </c>
      <c r="T99" t="inlineStr">
        <is>
          <t>PASS</t>
        </is>
      </c>
    </row>
    <row r="100">
      <c r="A100" s="71" t="n">
        <v>96</v>
      </c>
      <c r="B100" t="inlineStr">
        <is>
          <t>track_fader</t>
        </is>
      </c>
      <c r="C100" t="inlineStr">
        <is>
          <t>FADER3</t>
        </is>
      </c>
      <c r="D100" t="inlineStr">
        <is>
          <t>Track Fader 3</t>
        </is>
      </c>
      <c r="E100" t="inlineStr">
        <is>
          <t>cc</t>
        </is>
      </c>
      <c r="F100" s="71" t="n">
        <v>7</v>
      </c>
      <c r="G100" s="71" t="n">
        <v>3</v>
      </c>
      <c r="H100" t="inlineStr">
        <is>
          <t>CC7/C3</t>
        </is>
      </c>
      <c r="I100" s="72" t="inlineStr">
        <is>
          <t>144115188075857842</t>
        </is>
      </c>
      <c r="J100" s="71" t="n">
        <v>0</v>
      </c>
      <c r="K100" s="63" t="inlineStr">
        <is>
          <t>#e6e6e6ff</t>
        </is>
      </c>
      <c r="L100" s="71" t="n">
        <v>865</v>
      </c>
      <c r="M100" s="71" t="n">
        <v>2180</v>
      </c>
      <c r="N100" s="71" t="n">
        <v>-509</v>
      </c>
      <c r="O100" s="71" t="n">
        <v>358</v>
      </c>
      <c r="P100" s="71" t="n">
        <v>40</v>
      </c>
      <c r="Q100" t="inlineStr">
        <is>
          <t>CC7/C3</t>
        </is>
      </c>
      <c r="R100" t="n">
        <v>3</v>
      </c>
      <c r="S100" t="inlineStr">
        <is>
          <t>wake, opacity, motion_y</t>
        </is>
      </c>
      <c r="T100" t="inlineStr">
        <is>
          <t>PASS</t>
        </is>
      </c>
    </row>
    <row r="101">
      <c r="A101" s="71" t="n">
        <v>97</v>
      </c>
      <c r="B101" t="inlineStr">
        <is>
          <t>track_fader</t>
        </is>
      </c>
      <c r="C101" t="inlineStr">
        <is>
          <t>FADER4</t>
        </is>
      </c>
      <c r="D101" t="inlineStr">
        <is>
          <t>Track Fader 4</t>
        </is>
      </c>
      <c r="E101" t="inlineStr">
        <is>
          <t>cc</t>
        </is>
      </c>
      <c r="F101" s="71" t="n">
        <v>7</v>
      </c>
      <c r="G101" s="71" t="n">
        <v>4</v>
      </c>
      <c r="H101" t="inlineStr">
        <is>
          <t>CC7/C4</t>
        </is>
      </c>
      <c r="I101" s="72" t="inlineStr">
        <is>
          <t>144115188075857843</t>
        </is>
      </c>
      <c r="J101" s="71" t="n">
        <v>0</v>
      </c>
      <c r="K101" s="63" t="inlineStr">
        <is>
          <t>#e6e6e6ff</t>
        </is>
      </c>
      <c r="L101" s="71" t="n">
        <v>1185</v>
      </c>
      <c r="M101" s="71" t="n">
        <v>2180</v>
      </c>
      <c r="N101" s="71" t="n">
        <v>-379</v>
      </c>
      <c r="O101" s="71" t="n">
        <v>358</v>
      </c>
      <c r="P101" s="71" t="n">
        <v>40</v>
      </c>
      <c r="Q101" t="inlineStr">
        <is>
          <t>CC7/C4</t>
        </is>
      </c>
      <c r="R101" t="n">
        <v>3</v>
      </c>
      <c r="S101" t="inlineStr">
        <is>
          <t>wake, opacity, motion_y</t>
        </is>
      </c>
      <c r="T101" t="inlineStr">
        <is>
          <t>PASS</t>
        </is>
      </c>
    </row>
    <row r="102">
      <c r="A102" s="71" t="n">
        <v>98</v>
      </c>
      <c r="B102" t="inlineStr">
        <is>
          <t>track_fader</t>
        </is>
      </c>
      <c r="C102" t="inlineStr">
        <is>
          <t>FADER5</t>
        </is>
      </c>
      <c r="D102" t="inlineStr">
        <is>
          <t>Track Fader 5</t>
        </is>
      </c>
      <c r="E102" t="inlineStr">
        <is>
          <t>cc</t>
        </is>
      </c>
      <c r="F102" s="71" t="n">
        <v>7</v>
      </c>
      <c r="G102" s="71" t="n">
        <v>5</v>
      </c>
      <c r="H102" t="inlineStr">
        <is>
          <t>CC7/C5</t>
        </is>
      </c>
      <c r="I102" s="72" t="inlineStr">
        <is>
          <t>144115188075857844</t>
        </is>
      </c>
      <c r="J102" s="71" t="n">
        <v>0</v>
      </c>
      <c r="K102" s="63" t="inlineStr">
        <is>
          <t>#e6e6e6ff</t>
        </is>
      </c>
      <c r="L102" s="71" t="n">
        <v>1505</v>
      </c>
      <c r="M102" s="71" t="n">
        <v>2180</v>
      </c>
      <c r="N102" s="71" t="n">
        <v>-249</v>
      </c>
      <c r="O102" s="71" t="n">
        <v>358</v>
      </c>
      <c r="P102" s="71" t="n">
        <v>40</v>
      </c>
      <c r="Q102" t="inlineStr">
        <is>
          <t>CC7/C5</t>
        </is>
      </c>
      <c r="R102" t="n">
        <v>3</v>
      </c>
      <c r="S102" t="inlineStr">
        <is>
          <t>wake, opacity, motion_y</t>
        </is>
      </c>
      <c r="T102" t="inlineStr">
        <is>
          <t>PASS</t>
        </is>
      </c>
    </row>
    <row r="103">
      <c r="A103" s="71" t="n">
        <v>99</v>
      </c>
      <c r="B103" t="inlineStr">
        <is>
          <t>track_fader</t>
        </is>
      </c>
      <c r="C103" t="inlineStr">
        <is>
          <t>FADER6</t>
        </is>
      </c>
      <c r="D103" t="inlineStr">
        <is>
          <t>Track Fader 6</t>
        </is>
      </c>
      <c r="E103" t="inlineStr">
        <is>
          <t>cc</t>
        </is>
      </c>
      <c r="F103" s="71" t="n">
        <v>7</v>
      </c>
      <c r="G103" s="71" t="n">
        <v>6</v>
      </c>
      <c r="H103" t="inlineStr">
        <is>
          <t>CC7/C6</t>
        </is>
      </c>
      <c r="I103" s="72" t="inlineStr">
        <is>
          <t>144115188075857845</t>
        </is>
      </c>
      <c r="J103" s="71" t="n">
        <v>0</v>
      </c>
      <c r="K103" s="63" t="inlineStr">
        <is>
          <t>#e6e6e6ff</t>
        </is>
      </c>
      <c r="L103" s="71" t="n">
        <v>1825</v>
      </c>
      <c r="M103" s="71" t="n">
        <v>2180</v>
      </c>
      <c r="N103" s="71" t="n">
        <v>-120</v>
      </c>
      <c r="O103" s="71" t="n">
        <v>358</v>
      </c>
      <c r="P103" s="71" t="n">
        <v>40</v>
      </c>
      <c r="Q103" t="inlineStr">
        <is>
          <t>CC7/C6</t>
        </is>
      </c>
      <c r="R103" t="n">
        <v>3</v>
      </c>
      <c r="S103" t="inlineStr">
        <is>
          <t>wake, opacity, motion_y</t>
        </is>
      </c>
      <c r="T103" t="inlineStr">
        <is>
          <t>PASS</t>
        </is>
      </c>
    </row>
    <row r="104">
      <c r="A104" s="71" t="n">
        <v>100</v>
      </c>
      <c r="B104" t="inlineStr">
        <is>
          <t>track_fader</t>
        </is>
      </c>
      <c r="C104" t="inlineStr">
        <is>
          <t>FADER7</t>
        </is>
      </c>
      <c r="D104" t="inlineStr">
        <is>
          <t>Track Fader 7</t>
        </is>
      </c>
      <c r="E104" t="inlineStr">
        <is>
          <t>cc</t>
        </is>
      </c>
      <c r="F104" s="71" t="n">
        <v>7</v>
      </c>
      <c r="G104" s="71" t="n">
        <v>7</v>
      </c>
      <c r="H104" t="inlineStr">
        <is>
          <t>CC7/C7</t>
        </is>
      </c>
      <c r="I104" s="72" t="inlineStr">
        <is>
          <t>144115188075857846</t>
        </is>
      </c>
      <c r="J104" s="71" t="n">
        <v>0</v>
      </c>
      <c r="K104" s="63" t="inlineStr">
        <is>
          <t>#e6e6e6ff</t>
        </is>
      </c>
      <c r="L104" s="71" t="n">
        <v>2145</v>
      </c>
      <c r="M104" s="71" t="n">
        <v>2180</v>
      </c>
      <c r="N104" s="71" t="n">
        <v>10</v>
      </c>
      <c r="O104" s="71" t="n">
        <v>358</v>
      </c>
      <c r="P104" s="71" t="n">
        <v>40</v>
      </c>
      <c r="Q104" t="inlineStr">
        <is>
          <t>CC7/C7</t>
        </is>
      </c>
      <c r="R104" t="n">
        <v>3</v>
      </c>
      <c r="S104" t="inlineStr">
        <is>
          <t>wake, opacity, motion_y</t>
        </is>
      </c>
      <c r="T104" t="inlineStr">
        <is>
          <t>PASS</t>
        </is>
      </c>
    </row>
    <row r="105">
      <c r="A105" s="71" t="n">
        <v>101</v>
      </c>
      <c r="B105" t="inlineStr">
        <is>
          <t>track_fader</t>
        </is>
      </c>
      <c r="C105" t="inlineStr">
        <is>
          <t>FADER8</t>
        </is>
      </c>
      <c r="D105" t="inlineStr">
        <is>
          <t>Track Fader 8</t>
        </is>
      </c>
      <c r="E105" t="inlineStr">
        <is>
          <t>cc</t>
        </is>
      </c>
      <c r="F105" s="71" t="n">
        <v>7</v>
      </c>
      <c r="G105" s="71" t="n">
        <v>8</v>
      </c>
      <c r="H105" t="inlineStr">
        <is>
          <t>CC7/C8</t>
        </is>
      </c>
      <c r="I105" s="72" t="inlineStr">
        <is>
          <t>144115188075857847</t>
        </is>
      </c>
      <c r="J105" s="71" t="n">
        <v>0</v>
      </c>
      <c r="K105" s="63" t="inlineStr">
        <is>
          <t>#e6e6e6ff</t>
        </is>
      </c>
      <c r="L105" s="71" t="n">
        <v>2465</v>
      </c>
      <c r="M105" s="71" t="n">
        <v>2180</v>
      </c>
      <c r="N105" s="71" t="n">
        <v>140</v>
      </c>
      <c r="O105" s="71" t="n">
        <v>358</v>
      </c>
      <c r="P105" s="71" t="n">
        <v>40</v>
      </c>
      <c r="Q105" t="inlineStr">
        <is>
          <t>CC7/C8</t>
        </is>
      </c>
      <c r="R105" t="n">
        <v>3</v>
      </c>
      <c r="S105" t="inlineStr">
        <is>
          <t>wake, opacity, motion_y</t>
        </is>
      </c>
      <c r="T105" t="inlineStr">
        <is>
          <t>PASS</t>
        </is>
      </c>
    </row>
    <row r="106">
      <c r="A106" s="71" t="n">
        <v>102</v>
      </c>
      <c r="B106" t="inlineStr">
        <is>
          <t>track_knob</t>
        </is>
      </c>
      <c r="C106" t="inlineStr">
        <is>
          <t>TRACK1</t>
        </is>
      </c>
      <c r="D106" t="inlineStr">
        <is>
          <t>Track Knob 1</t>
        </is>
      </c>
      <c r="E106" t="inlineStr">
        <is>
          <t>cc</t>
        </is>
      </c>
      <c r="F106" s="71" t="n">
        <v>48</v>
      </c>
      <c r="G106" s="71" t="n">
        <v>1</v>
      </c>
      <c r="H106" t="inlineStr">
        <is>
          <t>CC48/C1</t>
        </is>
      </c>
      <c r="I106" s="72" t="inlineStr">
        <is>
          <t>144115188075868336</t>
        </is>
      </c>
      <c r="J106" s="71" t="n">
        <v>0</v>
      </c>
      <c r="K106" s="63" t="inlineStr">
        <is>
          <t>#e6e6e6ff</t>
        </is>
      </c>
      <c r="L106" s="71" t="n">
        <v>225</v>
      </c>
      <c r="M106" s="71" t="n">
        <v>207</v>
      </c>
      <c r="N106" s="71" t="n">
        <v>-769</v>
      </c>
      <c r="O106" s="71" t="n">
        <v>-410</v>
      </c>
      <c r="P106" s="71" t="n">
        <v>40</v>
      </c>
      <c r="Q106" t="inlineStr">
        <is>
          <t>CC48/C1</t>
        </is>
      </c>
      <c r="R106" t="n">
        <v>3</v>
      </c>
      <c r="S106" t="inlineStr">
        <is>
          <t>wake, opacity, motion_rotation</t>
        </is>
      </c>
      <c r="T106" t="inlineStr">
        <is>
          <t>PASS</t>
        </is>
      </c>
    </row>
    <row r="107">
      <c r="A107" s="71" t="n">
        <v>103</v>
      </c>
      <c r="B107" t="inlineStr">
        <is>
          <t>track_knob</t>
        </is>
      </c>
      <c r="C107" t="inlineStr">
        <is>
          <t>TRACK2</t>
        </is>
      </c>
      <c r="D107" t="inlineStr">
        <is>
          <t>Track Knob 2</t>
        </is>
      </c>
      <c r="E107" t="inlineStr">
        <is>
          <t>cc</t>
        </is>
      </c>
      <c r="F107" s="71" t="n">
        <v>49</v>
      </c>
      <c r="G107" s="71" t="n">
        <v>1</v>
      </c>
      <c r="H107" t="inlineStr">
        <is>
          <t>CC49/C1</t>
        </is>
      </c>
      <c r="I107" s="72" t="inlineStr">
        <is>
          <t>144115188075868592</t>
        </is>
      </c>
      <c r="J107" s="71" t="n">
        <v>0</v>
      </c>
      <c r="K107" s="63" t="inlineStr">
        <is>
          <t>#e6e6e6ff</t>
        </is>
      </c>
      <c r="L107" s="71" t="n">
        <v>545</v>
      </c>
      <c r="M107" s="71" t="n">
        <v>207</v>
      </c>
      <c r="N107" s="71" t="n">
        <v>-639</v>
      </c>
      <c r="O107" s="71" t="n">
        <v>-410</v>
      </c>
      <c r="P107" s="71" t="n">
        <v>40</v>
      </c>
      <c r="Q107" t="inlineStr">
        <is>
          <t>CC49/C1</t>
        </is>
      </c>
      <c r="R107" t="n">
        <v>3</v>
      </c>
      <c r="S107" t="inlineStr">
        <is>
          <t>wake, opacity, motion_rotation</t>
        </is>
      </c>
      <c r="T107" t="inlineStr">
        <is>
          <t>PASS</t>
        </is>
      </c>
    </row>
    <row r="108">
      <c r="A108" s="71" t="n">
        <v>104</v>
      </c>
      <c r="B108" t="inlineStr">
        <is>
          <t>track_knob</t>
        </is>
      </c>
      <c r="C108" t="inlineStr">
        <is>
          <t>TRACK3</t>
        </is>
      </c>
      <c r="D108" t="inlineStr">
        <is>
          <t>Track Knob 3</t>
        </is>
      </c>
      <c r="E108" t="inlineStr">
        <is>
          <t>cc</t>
        </is>
      </c>
      <c r="F108" s="71" t="n">
        <v>50</v>
      </c>
      <c r="G108" s="71" t="n">
        <v>1</v>
      </c>
      <c r="H108" t="inlineStr">
        <is>
          <t>CC50/C1</t>
        </is>
      </c>
      <c r="I108" s="72" t="inlineStr">
        <is>
          <t>144115188075868848</t>
        </is>
      </c>
      <c r="J108" s="71" t="n">
        <v>0</v>
      </c>
      <c r="K108" s="63" t="inlineStr">
        <is>
          <t>#e6e6e6ff</t>
        </is>
      </c>
      <c r="L108" s="71" t="n">
        <v>865</v>
      </c>
      <c r="M108" s="71" t="n">
        <v>207</v>
      </c>
      <c r="N108" s="71" t="n">
        <v>-509</v>
      </c>
      <c r="O108" s="71" t="n">
        <v>-410</v>
      </c>
      <c r="P108" s="71" t="n">
        <v>40</v>
      </c>
      <c r="Q108" t="inlineStr">
        <is>
          <t>CC50/C1</t>
        </is>
      </c>
      <c r="R108" t="n">
        <v>3</v>
      </c>
      <c r="S108" t="inlineStr">
        <is>
          <t>wake, opacity, motion_rotation</t>
        </is>
      </c>
      <c r="T108" t="inlineStr">
        <is>
          <t>PASS</t>
        </is>
      </c>
    </row>
    <row r="109">
      <c r="A109" s="71" t="n">
        <v>105</v>
      </c>
      <c r="B109" t="inlineStr">
        <is>
          <t>track_knob</t>
        </is>
      </c>
      <c r="C109" t="inlineStr">
        <is>
          <t>TRACK4</t>
        </is>
      </c>
      <c r="D109" t="inlineStr">
        <is>
          <t>Track Knob 4</t>
        </is>
      </c>
      <c r="E109" t="inlineStr">
        <is>
          <t>cc</t>
        </is>
      </c>
      <c r="F109" s="71" t="n">
        <v>51</v>
      </c>
      <c r="G109" s="71" t="n">
        <v>1</v>
      </c>
      <c r="H109" t="inlineStr">
        <is>
          <t>CC51/C1</t>
        </is>
      </c>
      <c r="I109" s="72" t="inlineStr">
        <is>
          <t>144115188075869104</t>
        </is>
      </c>
      <c r="J109" s="71" t="n">
        <v>0</v>
      </c>
      <c r="K109" s="63" t="inlineStr">
        <is>
          <t>#e6e6e6ff</t>
        </is>
      </c>
      <c r="L109" s="71" t="n">
        <v>1185</v>
      </c>
      <c r="M109" s="71" t="n">
        <v>207</v>
      </c>
      <c r="N109" s="71" t="n">
        <v>-379</v>
      </c>
      <c r="O109" s="71" t="n">
        <v>-410</v>
      </c>
      <c r="P109" s="71" t="n">
        <v>40</v>
      </c>
      <c r="Q109" t="inlineStr">
        <is>
          <t>CC51/C1</t>
        </is>
      </c>
      <c r="R109" t="n">
        <v>3</v>
      </c>
      <c r="S109" t="inlineStr">
        <is>
          <t>wake, opacity, motion_rotation</t>
        </is>
      </c>
      <c r="T109" t="inlineStr">
        <is>
          <t>PASS</t>
        </is>
      </c>
    </row>
    <row r="110">
      <c r="A110" s="71" t="n">
        <v>106</v>
      </c>
      <c r="B110" t="inlineStr">
        <is>
          <t>track_knob</t>
        </is>
      </c>
      <c r="C110" t="inlineStr">
        <is>
          <t>TRACK5</t>
        </is>
      </c>
      <c r="D110" t="inlineStr">
        <is>
          <t>Track Knob 5</t>
        </is>
      </c>
      <c r="E110" t="inlineStr">
        <is>
          <t>cc</t>
        </is>
      </c>
      <c r="F110" s="71" t="n">
        <v>52</v>
      </c>
      <c r="G110" s="71" t="n">
        <v>1</v>
      </c>
      <c r="H110" t="inlineStr">
        <is>
          <t>CC52/C1</t>
        </is>
      </c>
      <c r="I110" s="72" t="inlineStr">
        <is>
          <t>144115188075869360</t>
        </is>
      </c>
      <c r="J110" s="71" t="n">
        <v>0</v>
      </c>
      <c r="K110" s="63" t="inlineStr">
        <is>
          <t>#e6e6e6ff</t>
        </is>
      </c>
      <c r="L110" s="71" t="n">
        <v>1505</v>
      </c>
      <c r="M110" s="71" t="n">
        <v>207</v>
      </c>
      <c r="N110" s="71" t="n">
        <v>-249</v>
      </c>
      <c r="O110" s="71" t="n">
        <v>-410</v>
      </c>
      <c r="P110" s="71" t="n">
        <v>40</v>
      </c>
      <c r="Q110" t="inlineStr">
        <is>
          <t>CC52/C1</t>
        </is>
      </c>
      <c r="R110" t="n">
        <v>3</v>
      </c>
      <c r="S110" t="inlineStr">
        <is>
          <t>wake, opacity, motion_rotation</t>
        </is>
      </c>
      <c r="T110" t="inlineStr">
        <is>
          <t>PASS</t>
        </is>
      </c>
    </row>
    <row r="111">
      <c r="A111" s="71" t="n">
        <v>107</v>
      </c>
      <c r="B111" t="inlineStr">
        <is>
          <t>track_knob</t>
        </is>
      </c>
      <c r="C111" t="inlineStr">
        <is>
          <t>TRACK6</t>
        </is>
      </c>
      <c r="D111" t="inlineStr">
        <is>
          <t>Track Knob 6</t>
        </is>
      </c>
      <c r="E111" t="inlineStr">
        <is>
          <t>cc</t>
        </is>
      </c>
      <c r="F111" s="71" t="n">
        <v>53</v>
      </c>
      <c r="G111" s="71" t="n">
        <v>1</v>
      </c>
      <c r="H111" t="inlineStr">
        <is>
          <t>CC53/C1</t>
        </is>
      </c>
      <c r="I111" s="72" t="inlineStr">
        <is>
          <t>144115188075869616</t>
        </is>
      </c>
      <c r="J111" s="71" t="n">
        <v>0</v>
      </c>
      <c r="K111" s="63" t="inlineStr">
        <is>
          <t>#e6e6e6ff</t>
        </is>
      </c>
      <c r="L111" s="71" t="n">
        <v>1825</v>
      </c>
      <c r="M111" s="71" t="n">
        <v>207</v>
      </c>
      <c r="N111" s="71" t="n">
        <v>-120</v>
      </c>
      <c r="O111" s="71" t="n">
        <v>-410</v>
      </c>
      <c r="P111" s="71" t="n">
        <v>40</v>
      </c>
      <c r="Q111" t="inlineStr">
        <is>
          <t>CC53/C1</t>
        </is>
      </c>
      <c r="R111" t="n">
        <v>3</v>
      </c>
      <c r="S111" t="inlineStr">
        <is>
          <t>wake, opacity, motion_rotation</t>
        </is>
      </c>
      <c r="T111" t="inlineStr">
        <is>
          <t>PASS</t>
        </is>
      </c>
    </row>
    <row r="112">
      <c r="A112" s="71" t="n">
        <v>108</v>
      </c>
      <c r="B112" t="inlineStr">
        <is>
          <t>track_knob</t>
        </is>
      </c>
      <c r="C112" t="inlineStr">
        <is>
          <t>TRACK7</t>
        </is>
      </c>
      <c r="D112" t="inlineStr">
        <is>
          <t>Track Knob 7</t>
        </is>
      </c>
      <c r="E112" t="inlineStr">
        <is>
          <t>cc</t>
        </is>
      </c>
      <c r="F112" s="71" t="n">
        <v>54</v>
      </c>
      <c r="G112" s="71" t="n">
        <v>1</v>
      </c>
      <c r="H112" t="inlineStr">
        <is>
          <t>CC54/C1</t>
        </is>
      </c>
      <c r="I112" s="72" t="inlineStr">
        <is>
          <t>144115188075869872</t>
        </is>
      </c>
      <c r="J112" s="71" t="n">
        <v>0</v>
      </c>
      <c r="K112" s="63" t="inlineStr">
        <is>
          <t>#e6e6e6ff</t>
        </is>
      </c>
      <c r="L112" s="71" t="n">
        <v>2145</v>
      </c>
      <c r="M112" s="71" t="n">
        <v>207</v>
      </c>
      <c r="N112" s="71" t="n">
        <v>10</v>
      </c>
      <c r="O112" s="71" t="n">
        <v>-410</v>
      </c>
      <c r="P112" s="71" t="n">
        <v>40</v>
      </c>
      <c r="Q112" t="inlineStr">
        <is>
          <t>CC54/C1</t>
        </is>
      </c>
      <c r="R112" t="n">
        <v>3</v>
      </c>
      <c r="S112" t="inlineStr">
        <is>
          <t>wake, opacity, motion_rotation</t>
        </is>
      </c>
      <c r="T112" t="inlineStr">
        <is>
          <t>PASS</t>
        </is>
      </c>
    </row>
    <row r="113">
      <c r="A113" s="71" t="n">
        <v>109</v>
      </c>
      <c r="B113" t="inlineStr">
        <is>
          <t>track_knob</t>
        </is>
      </c>
      <c r="C113" t="inlineStr">
        <is>
          <t>TRACK8</t>
        </is>
      </c>
      <c r="D113" t="inlineStr">
        <is>
          <t>Track Knob 8</t>
        </is>
      </c>
      <c r="E113" t="inlineStr">
        <is>
          <t>cc</t>
        </is>
      </c>
      <c r="F113" s="71" t="n">
        <v>55</v>
      </c>
      <c r="G113" s="71" t="n">
        <v>1</v>
      </c>
      <c r="H113" t="inlineStr">
        <is>
          <t>CC55/C1</t>
        </is>
      </c>
      <c r="I113" s="72" t="inlineStr">
        <is>
          <t>144115188075870128</t>
        </is>
      </c>
      <c r="J113" s="71" t="n">
        <v>0</v>
      </c>
      <c r="K113" s="63" t="inlineStr">
        <is>
          <t>#e6e6e6ff</t>
        </is>
      </c>
      <c r="L113" s="71" t="n">
        <v>2465</v>
      </c>
      <c r="M113" s="71" t="n">
        <v>207</v>
      </c>
      <c r="N113" s="71" t="n">
        <v>140</v>
      </c>
      <c r="O113" s="71" t="n">
        <v>-410</v>
      </c>
      <c r="P113" s="71" t="n">
        <v>40</v>
      </c>
      <c r="Q113" t="inlineStr">
        <is>
          <t>CC55/C1</t>
        </is>
      </c>
      <c r="R113" t="n">
        <v>3</v>
      </c>
      <c r="S113" t="inlineStr">
        <is>
          <t>wake, opacity, motion_rotation</t>
        </is>
      </c>
      <c r="T113" t="inlineStr">
        <is>
          <t>PASS</t>
        </is>
      </c>
    </row>
    <row r="114">
      <c r="A114" s="71" t="n">
        <v>110</v>
      </c>
      <c r="B114" t="inlineStr">
        <is>
          <t>device_knob</t>
        </is>
      </c>
      <c r="C114" t="inlineStr">
        <is>
          <t>DEV1</t>
        </is>
      </c>
      <c r="D114" t="inlineStr">
        <is>
          <t>Device Knob 1</t>
        </is>
      </c>
      <c r="E114" t="inlineStr">
        <is>
          <t>cc</t>
        </is>
      </c>
      <c r="F114" s="71" t="n">
        <v>16</v>
      </c>
      <c r="G114" s="71" t="n">
        <v>1</v>
      </c>
      <c r="H114" t="inlineStr">
        <is>
          <t>CC16/C1</t>
        </is>
      </c>
      <c r="I114" s="72" t="inlineStr">
        <is>
          <t>144115188075860144</t>
        </is>
      </c>
      <c r="J114" s="71" t="n">
        <v>0</v>
      </c>
      <c r="K114" s="63" t="inlineStr">
        <is>
          <t>#e6e6e6ff</t>
        </is>
      </c>
      <c r="L114" s="71" t="n">
        <v>3050</v>
      </c>
      <c r="M114" s="71" t="n">
        <v>1035</v>
      </c>
      <c r="N114" s="71" t="n">
        <v>377</v>
      </c>
      <c r="O114" s="71" t="n">
        <v>-88</v>
      </c>
      <c r="P114" s="71" t="n">
        <v>40</v>
      </c>
      <c r="Q114" t="inlineStr">
        <is>
          <t>CC16/C1</t>
        </is>
      </c>
      <c r="R114" t="n">
        <v>3</v>
      </c>
      <c r="S114" t="inlineStr">
        <is>
          <t>wake, opacity, motion_rotation</t>
        </is>
      </c>
      <c r="T114" t="inlineStr">
        <is>
          <t>PASS</t>
        </is>
      </c>
    </row>
    <row r="115">
      <c r="A115" s="71" t="n">
        <v>111</v>
      </c>
      <c r="B115" t="inlineStr">
        <is>
          <t>device_knob</t>
        </is>
      </c>
      <c r="C115" t="inlineStr">
        <is>
          <t>DEV2</t>
        </is>
      </c>
      <c r="D115" t="inlineStr">
        <is>
          <t>Device Knob 2</t>
        </is>
      </c>
      <c r="E115" t="inlineStr">
        <is>
          <t>cc</t>
        </is>
      </c>
      <c r="F115" s="71" t="n">
        <v>17</v>
      </c>
      <c r="G115" s="71" t="n">
        <v>1</v>
      </c>
      <c r="H115" t="inlineStr">
        <is>
          <t>CC17/C1</t>
        </is>
      </c>
      <c r="I115" s="72" t="inlineStr">
        <is>
          <t>144115188075860400</t>
        </is>
      </c>
      <c r="J115" s="71" t="n">
        <v>0</v>
      </c>
      <c r="K115" s="63" t="inlineStr">
        <is>
          <t>#e6e6e6ff</t>
        </is>
      </c>
      <c r="L115" s="71" t="n">
        <v>3370</v>
      </c>
      <c r="M115" s="71" t="n">
        <v>1035</v>
      </c>
      <c r="N115" s="71" t="n">
        <v>507</v>
      </c>
      <c r="O115" s="71" t="n">
        <v>-88</v>
      </c>
      <c r="P115" s="71" t="n">
        <v>40</v>
      </c>
      <c r="Q115" t="inlineStr">
        <is>
          <t>CC17/C1</t>
        </is>
      </c>
      <c r="R115" t="n">
        <v>3</v>
      </c>
      <c r="S115" t="inlineStr">
        <is>
          <t>wake, opacity, motion_rotation</t>
        </is>
      </c>
      <c r="T115" t="inlineStr">
        <is>
          <t>PASS</t>
        </is>
      </c>
    </row>
    <row r="116">
      <c r="A116" s="71" t="n">
        <v>112</v>
      </c>
      <c r="B116" t="inlineStr">
        <is>
          <t>device_knob</t>
        </is>
      </c>
      <c r="C116" t="inlineStr">
        <is>
          <t>DEV3</t>
        </is>
      </c>
      <c r="D116" t="inlineStr">
        <is>
          <t>Device Knob 3</t>
        </is>
      </c>
      <c r="E116" t="inlineStr">
        <is>
          <t>cc</t>
        </is>
      </c>
      <c r="F116" s="71" t="n">
        <v>18</v>
      </c>
      <c r="G116" s="71" t="n">
        <v>1</v>
      </c>
      <c r="H116" t="inlineStr">
        <is>
          <t>CC18/C1</t>
        </is>
      </c>
      <c r="I116" s="72" t="inlineStr">
        <is>
          <t>144115188075860656</t>
        </is>
      </c>
      <c r="J116" s="71" t="n">
        <v>0</v>
      </c>
      <c r="K116" s="63" t="inlineStr">
        <is>
          <t>#e6e6e6ff</t>
        </is>
      </c>
      <c r="L116" s="71" t="n">
        <v>3690</v>
      </c>
      <c r="M116" s="71" t="n">
        <v>1035</v>
      </c>
      <c r="N116" s="71" t="n">
        <v>637</v>
      </c>
      <c r="O116" s="71" t="n">
        <v>-88</v>
      </c>
      <c r="P116" s="71" t="n">
        <v>40</v>
      </c>
      <c r="Q116" t="inlineStr">
        <is>
          <t>CC18/C1</t>
        </is>
      </c>
      <c r="R116" t="n">
        <v>3</v>
      </c>
      <c r="S116" t="inlineStr">
        <is>
          <t>wake, opacity, motion_rotation</t>
        </is>
      </c>
      <c r="T116" t="inlineStr">
        <is>
          <t>PASS</t>
        </is>
      </c>
    </row>
    <row r="117">
      <c r="A117" s="71" t="n">
        <v>113</v>
      </c>
      <c r="B117" t="inlineStr">
        <is>
          <t>device_knob</t>
        </is>
      </c>
      <c r="C117" t="inlineStr">
        <is>
          <t>DEV4</t>
        </is>
      </c>
      <c r="D117" t="inlineStr">
        <is>
          <t>Device Knob 4</t>
        </is>
      </c>
      <c r="E117" t="inlineStr">
        <is>
          <t>cc</t>
        </is>
      </c>
      <c r="F117" s="71" t="n">
        <v>19</v>
      </c>
      <c r="G117" s="71" t="n">
        <v>1</v>
      </c>
      <c r="H117" t="inlineStr">
        <is>
          <t>CC19/C1</t>
        </is>
      </c>
      <c r="I117" s="72" t="inlineStr">
        <is>
          <t>144115188075860912</t>
        </is>
      </c>
      <c r="J117" s="71" t="n">
        <v>0</v>
      </c>
      <c r="K117" s="63" t="inlineStr">
        <is>
          <t>#e6e6e6ff</t>
        </is>
      </c>
      <c r="L117" s="71" t="n">
        <v>4010</v>
      </c>
      <c r="M117" s="71" t="n">
        <v>1035</v>
      </c>
      <c r="N117" s="71" t="n">
        <v>767</v>
      </c>
      <c r="O117" s="71" t="n">
        <v>-88</v>
      </c>
      <c r="P117" s="71" t="n">
        <v>40</v>
      </c>
      <c r="Q117" t="inlineStr">
        <is>
          <t>CC19/C1</t>
        </is>
      </c>
      <c r="R117" t="n">
        <v>3</v>
      </c>
      <c r="S117" t="inlineStr">
        <is>
          <t>wake, opacity, motion_rotation</t>
        </is>
      </c>
      <c r="T117" t="inlineStr">
        <is>
          <t>PASS</t>
        </is>
      </c>
    </row>
    <row r="118">
      <c r="A118" s="71" t="n">
        <v>114</v>
      </c>
      <c r="B118" t="inlineStr">
        <is>
          <t>device_knob</t>
        </is>
      </c>
      <c r="C118" t="inlineStr">
        <is>
          <t>DEV5</t>
        </is>
      </c>
      <c r="D118" t="inlineStr">
        <is>
          <t>Device Knob 5</t>
        </is>
      </c>
      <c r="E118" t="inlineStr">
        <is>
          <t>cc</t>
        </is>
      </c>
      <c r="F118" s="71" t="n">
        <v>20</v>
      </c>
      <c r="G118" s="71" t="n">
        <v>1</v>
      </c>
      <c r="H118" t="inlineStr">
        <is>
          <t>CC20/C1</t>
        </is>
      </c>
      <c r="I118" s="72" t="inlineStr">
        <is>
          <t>144115188075861168</t>
        </is>
      </c>
      <c r="J118" s="71" t="n">
        <v>0</v>
      </c>
      <c r="K118" s="63" t="inlineStr">
        <is>
          <t>#e6e6e6ff</t>
        </is>
      </c>
      <c r="L118" s="71" t="n">
        <v>3050</v>
      </c>
      <c r="M118" s="71" t="n">
        <v>1345</v>
      </c>
      <c r="N118" s="71" t="n">
        <v>377</v>
      </c>
      <c r="O118" s="71" t="n">
        <v>33</v>
      </c>
      <c r="P118" s="71" t="n">
        <v>40</v>
      </c>
      <c r="Q118" t="inlineStr">
        <is>
          <t>CC20/C1</t>
        </is>
      </c>
      <c r="R118" t="n">
        <v>3</v>
      </c>
      <c r="S118" t="inlineStr">
        <is>
          <t>wake, opacity, motion_rotation</t>
        </is>
      </c>
      <c r="T118" t="inlineStr">
        <is>
          <t>PASS</t>
        </is>
      </c>
    </row>
    <row r="119">
      <c r="A119" s="71" t="n">
        <v>115</v>
      </c>
      <c r="B119" t="inlineStr">
        <is>
          <t>device_knob</t>
        </is>
      </c>
      <c r="C119" t="inlineStr">
        <is>
          <t>DEV6</t>
        </is>
      </c>
      <c r="D119" t="inlineStr">
        <is>
          <t>Device Knob 6</t>
        </is>
      </c>
      <c r="E119" t="inlineStr">
        <is>
          <t>cc</t>
        </is>
      </c>
      <c r="F119" s="71" t="n">
        <v>21</v>
      </c>
      <c r="G119" s="71" t="n">
        <v>1</v>
      </c>
      <c r="H119" t="inlineStr">
        <is>
          <t>CC21/C1</t>
        </is>
      </c>
      <c r="I119" s="72" t="inlineStr">
        <is>
          <t>144115188075861424</t>
        </is>
      </c>
      <c r="J119" s="71" t="n">
        <v>0</v>
      </c>
      <c r="K119" s="63" t="inlineStr">
        <is>
          <t>#e6e6e6ff</t>
        </is>
      </c>
      <c r="L119" s="71" t="n">
        <v>3370</v>
      </c>
      <c r="M119" s="71" t="n">
        <v>1345</v>
      </c>
      <c r="N119" s="71" t="n">
        <v>507</v>
      </c>
      <c r="O119" s="71" t="n">
        <v>33</v>
      </c>
      <c r="P119" s="71" t="n">
        <v>40</v>
      </c>
      <c r="Q119" t="inlineStr">
        <is>
          <t>CC21/C1</t>
        </is>
      </c>
      <c r="R119" t="n">
        <v>3</v>
      </c>
      <c r="S119" t="inlineStr">
        <is>
          <t>wake, opacity, motion_rotation</t>
        </is>
      </c>
      <c r="T119" t="inlineStr">
        <is>
          <t>PASS</t>
        </is>
      </c>
    </row>
    <row r="120">
      <c r="A120" s="71" t="n">
        <v>116</v>
      </c>
      <c r="B120" t="inlineStr">
        <is>
          <t>device_knob</t>
        </is>
      </c>
      <c r="C120" t="inlineStr">
        <is>
          <t>DEV7</t>
        </is>
      </c>
      <c r="D120" t="inlineStr">
        <is>
          <t>Device Knob 7</t>
        </is>
      </c>
      <c r="E120" t="inlineStr">
        <is>
          <t>cc</t>
        </is>
      </c>
      <c r="F120" s="71" t="n">
        <v>22</v>
      </c>
      <c r="G120" s="71" t="n">
        <v>1</v>
      </c>
      <c r="H120" t="inlineStr">
        <is>
          <t>CC22/C1</t>
        </is>
      </c>
      <c r="I120" s="72" t="inlineStr">
        <is>
          <t>144115188075861680</t>
        </is>
      </c>
      <c r="J120" s="71" t="n">
        <v>0</v>
      </c>
      <c r="K120" s="63" t="inlineStr">
        <is>
          <t>#e6e6e6ff</t>
        </is>
      </c>
      <c r="L120" s="71" t="n">
        <v>3690</v>
      </c>
      <c r="M120" s="71" t="n">
        <v>1345</v>
      </c>
      <c r="N120" s="71" t="n">
        <v>637</v>
      </c>
      <c r="O120" s="71" t="n">
        <v>33</v>
      </c>
      <c r="P120" s="71" t="n">
        <v>40</v>
      </c>
      <c r="Q120" t="inlineStr">
        <is>
          <t>CC22/C1</t>
        </is>
      </c>
      <c r="R120" t="n">
        <v>3</v>
      </c>
      <c r="S120" t="inlineStr">
        <is>
          <t>wake, opacity, motion_rotation</t>
        </is>
      </c>
      <c r="T120" t="inlineStr">
        <is>
          <t>PASS</t>
        </is>
      </c>
    </row>
    <row r="121">
      <c r="A121" s="71" t="n">
        <v>117</v>
      </c>
      <c r="B121" t="inlineStr">
        <is>
          <t>device_knob</t>
        </is>
      </c>
      <c r="C121" t="inlineStr">
        <is>
          <t>DEV8</t>
        </is>
      </c>
      <c r="D121" t="inlineStr">
        <is>
          <t>Device Knob 8</t>
        </is>
      </c>
      <c r="E121" t="inlineStr">
        <is>
          <t>cc</t>
        </is>
      </c>
      <c r="F121" s="71" t="n">
        <v>23</v>
      </c>
      <c r="G121" s="71" t="n">
        <v>1</v>
      </c>
      <c r="H121" t="inlineStr">
        <is>
          <t>CC23/C1</t>
        </is>
      </c>
      <c r="I121" s="72" t="inlineStr">
        <is>
          <t>144115188075861936</t>
        </is>
      </c>
      <c r="J121" s="71" t="n">
        <v>0</v>
      </c>
      <c r="K121" s="63" t="inlineStr">
        <is>
          <t>#e6e6e6ff</t>
        </is>
      </c>
      <c r="L121" s="71" t="n">
        <v>4010</v>
      </c>
      <c r="M121" s="71" t="n">
        <v>1345</v>
      </c>
      <c r="N121" s="71" t="n">
        <v>767</v>
      </c>
      <c r="O121" s="71" t="n">
        <v>33</v>
      </c>
      <c r="P121" s="71" t="n">
        <v>40</v>
      </c>
      <c r="Q121" t="inlineStr">
        <is>
          <t>CC23/C1</t>
        </is>
      </c>
      <c r="R121" t="n">
        <v>3</v>
      </c>
      <c r="S121" t="inlineStr">
        <is>
          <t>wake, opacity, motion_rotation</t>
        </is>
      </c>
      <c r="T121" t="inlineStr">
        <is>
          <t>PASS</t>
        </is>
      </c>
    </row>
    <row r="122">
      <c r="A122" s="71" t="n">
        <v>118</v>
      </c>
      <c r="B122" t="inlineStr">
        <is>
          <t>transport</t>
        </is>
      </c>
      <c r="C122" t="inlineStr">
        <is>
          <t>PLAY</t>
        </is>
      </c>
      <c r="D122" t="inlineStr">
        <is>
          <t>Play</t>
        </is>
      </c>
      <c r="E122" t="inlineStr">
        <is>
          <t>note</t>
        </is>
      </c>
      <c r="F122" s="71" t="n">
        <v>91</v>
      </c>
      <c r="G122" s="71" t="n">
        <v>1</v>
      </c>
      <c r="H122" t="inlineStr">
        <is>
          <t>N91/C1</t>
        </is>
      </c>
      <c r="I122" s="72" t="inlineStr">
        <is>
          <t>72057594037951376</t>
        </is>
      </c>
      <c r="J122" s="71" t="n">
        <v>21</v>
      </c>
      <c r="K122" s="54" t="inlineStr">
        <is>
          <t>#f08a24ff</t>
        </is>
      </c>
      <c r="L122" s="71" t="n">
        <v>3370</v>
      </c>
      <c r="M122" s="71" t="n">
        <v>395</v>
      </c>
      <c r="N122" s="71" t="n">
        <v>507</v>
      </c>
      <c r="O122" s="71" t="n">
        <v>-336</v>
      </c>
      <c r="P122" s="71" t="n">
        <v>35</v>
      </c>
      <c r="Q122" t="inlineStr">
        <is>
          <t>N91/C1</t>
        </is>
      </c>
      <c r="R122" t="n">
        <v>1</v>
      </c>
      <c r="S122" t="inlineStr">
        <is>
          <t>button_connect</t>
        </is>
      </c>
      <c r="T122" t="inlineStr">
        <is>
          <t>PASS</t>
        </is>
      </c>
    </row>
    <row r="123">
      <c r="A123" s="71" t="n">
        <v>119</v>
      </c>
      <c r="B123" t="inlineStr">
        <is>
          <t>transport</t>
        </is>
      </c>
      <c r="C123" t="inlineStr">
        <is>
          <t>STOP</t>
        </is>
      </c>
      <c r="D123" t="inlineStr">
        <is>
          <t>Stop</t>
        </is>
      </c>
      <c r="E123" t="inlineStr">
        <is>
          <t>note</t>
        </is>
      </c>
      <c r="F123" s="71" t="n">
        <v>92</v>
      </c>
      <c r="G123" s="71" t="n">
        <v>1</v>
      </c>
      <c r="H123" t="inlineStr">
        <is>
          <t>N92/C1</t>
        </is>
      </c>
      <c r="I123" s="72" t="inlineStr">
        <is>
          <t>72057594037951632</t>
        </is>
      </c>
      <c r="J123" s="71" t="n">
        <v>3</v>
      </c>
      <c r="K123" s="63" t="inlineStr">
        <is>
          <t>#e6e6e6ff</t>
        </is>
      </c>
      <c r="L123" s="71" t="n">
        <v>3370</v>
      </c>
      <c r="M123" s="71" t="n">
        <v>485</v>
      </c>
      <c r="N123" s="71" t="n">
        <v>507</v>
      </c>
      <c r="O123" s="71" t="n">
        <v>-301</v>
      </c>
      <c r="P123" s="71" t="n">
        <v>22</v>
      </c>
      <c r="Q123" t="inlineStr">
        <is>
          <t>N92/C1</t>
        </is>
      </c>
      <c r="R123" t="n">
        <v>1</v>
      </c>
      <c r="S123" t="inlineStr">
        <is>
          <t>button_connect</t>
        </is>
      </c>
      <c r="T123" t="inlineStr">
        <is>
          <t>PASS</t>
        </is>
      </c>
    </row>
    <row r="124">
      <c r="A124" s="71" t="n">
        <v>120</v>
      </c>
      <c r="B124" t="inlineStr">
        <is>
          <t>transport</t>
        </is>
      </c>
      <c r="C124" t="inlineStr">
        <is>
          <t>RECORD</t>
        </is>
      </c>
      <c r="D124" t="inlineStr">
        <is>
          <t>Record</t>
        </is>
      </c>
      <c r="E124" t="inlineStr">
        <is>
          <t>note</t>
        </is>
      </c>
      <c r="F124" s="71" t="n">
        <v>93</v>
      </c>
      <c r="G124" s="71" t="n">
        <v>1</v>
      </c>
      <c r="H124" t="inlineStr">
        <is>
          <t>N93/C1</t>
        </is>
      </c>
      <c r="I124" s="72" t="inlineStr">
        <is>
          <t>72057594037951888</t>
        </is>
      </c>
      <c r="J124" s="71" t="n">
        <v>5</v>
      </c>
      <c r="K124" s="54" t="inlineStr">
        <is>
          <t>#f08a24ff</t>
        </is>
      </c>
      <c r="L124" s="71" t="n">
        <v>3690</v>
      </c>
      <c r="M124" s="71" t="n">
        <v>395</v>
      </c>
      <c r="N124" s="71" t="n">
        <v>637</v>
      </c>
      <c r="O124" s="71" t="n">
        <v>-336</v>
      </c>
      <c r="P124" s="71" t="n">
        <v>32</v>
      </c>
      <c r="Q124" t="inlineStr">
        <is>
          <t>N93/C1</t>
        </is>
      </c>
      <c r="R124" t="n">
        <v>1</v>
      </c>
      <c r="S124" t="inlineStr">
        <is>
          <t>button_connect</t>
        </is>
      </c>
      <c r="T124" t="inlineStr">
        <is>
          <t>PASS</t>
        </is>
      </c>
    </row>
    <row r="125">
      <c r="A125" s="71" t="n">
        <v>121</v>
      </c>
      <c r="B125" t="inlineStr">
        <is>
          <t>transport</t>
        </is>
      </c>
      <c r="C125" t="inlineStr">
        <is>
          <t>TAP</t>
        </is>
      </c>
      <c r="D125" t="inlineStr">
        <is>
          <t>Tap Tempo</t>
        </is>
      </c>
      <c r="E125" t="inlineStr">
        <is>
          <t>note</t>
        </is>
      </c>
      <c r="F125" s="71" t="n">
        <v>99</v>
      </c>
      <c r="G125" s="71" t="n">
        <v>1</v>
      </c>
      <c r="H125" t="inlineStr">
        <is>
          <t>N99/C1</t>
        </is>
      </c>
      <c r="I125" s="72" t="inlineStr">
        <is>
          <t>72057594037953424</t>
        </is>
      </c>
      <c r="J125" s="71" t="n">
        <v>9</v>
      </c>
      <c r="K125" s="63" t="inlineStr">
        <is>
          <t>#e6e6e6ff</t>
        </is>
      </c>
      <c r="L125" s="71" t="n">
        <v>3690</v>
      </c>
      <c r="M125" s="71" t="n">
        <v>585</v>
      </c>
      <c r="N125" s="71" t="n">
        <v>637</v>
      </c>
      <c r="O125" s="71" t="n">
        <v>-262</v>
      </c>
      <c r="P125" s="71" t="n">
        <v>28</v>
      </c>
      <c r="Q125" t="inlineStr">
        <is>
          <t>N99/C1</t>
        </is>
      </c>
      <c r="R125" t="n">
        <v>1</v>
      </c>
      <c r="S125" t="inlineStr">
        <is>
          <t>button_connect</t>
        </is>
      </c>
      <c r="T125" t="inlineStr">
        <is>
          <t>PASS</t>
        </is>
      </c>
    </row>
    <row r="126">
      <c r="A126" s="71" t="n">
        <v>122</v>
      </c>
      <c r="B126" t="inlineStr">
        <is>
          <t>transport</t>
        </is>
      </c>
      <c r="C126" t="inlineStr">
        <is>
          <t>NUDGE-</t>
        </is>
      </c>
      <c r="D126" t="inlineStr">
        <is>
          <t>Nudge Minus</t>
        </is>
      </c>
      <c r="E126" t="inlineStr">
        <is>
          <t>note</t>
        </is>
      </c>
      <c r="F126" s="71" t="n">
        <v>100</v>
      </c>
      <c r="G126" s="71" t="n">
        <v>1</v>
      </c>
      <c r="H126" t="inlineStr">
        <is>
          <t>N100/C1</t>
        </is>
      </c>
      <c r="I126" s="72" t="inlineStr">
        <is>
          <t>72057594037953680</t>
        </is>
      </c>
      <c r="J126" s="71" t="n">
        <v>13</v>
      </c>
      <c r="K126" s="63" t="inlineStr">
        <is>
          <t>#e6e6e6ff</t>
        </is>
      </c>
      <c r="L126" s="71" t="n">
        <v>3370</v>
      </c>
      <c r="M126" s="71" t="n">
        <v>775</v>
      </c>
      <c r="N126" s="71" t="n">
        <v>507</v>
      </c>
      <c r="O126" s="71" t="n">
        <v>-189</v>
      </c>
      <c r="P126" s="71" t="n">
        <v>28</v>
      </c>
      <c r="Q126" t="inlineStr">
        <is>
          <t>N100/C1</t>
        </is>
      </c>
      <c r="R126" t="n">
        <v>1</v>
      </c>
      <c r="S126" t="inlineStr">
        <is>
          <t>button_connect</t>
        </is>
      </c>
      <c r="T126" t="inlineStr">
        <is>
          <t>PASS</t>
        </is>
      </c>
    </row>
    <row r="127">
      <c r="A127" s="71" t="n">
        <v>123</v>
      </c>
      <c r="B127" t="inlineStr">
        <is>
          <t>transport</t>
        </is>
      </c>
      <c r="C127" t="inlineStr">
        <is>
          <t>NUDGE+</t>
        </is>
      </c>
      <c r="D127" t="inlineStr">
        <is>
          <t>Nudge Plus</t>
        </is>
      </c>
      <c r="E127" t="inlineStr">
        <is>
          <t>note</t>
        </is>
      </c>
      <c r="F127" s="71" t="n">
        <v>101</v>
      </c>
      <c r="G127" s="71" t="n">
        <v>1</v>
      </c>
      <c r="H127" t="inlineStr">
        <is>
          <t>N101/C1</t>
        </is>
      </c>
      <c r="I127" s="72" t="inlineStr">
        <is>
          <t>72057594037953936</t>
        </is>
      </c>
      <c r="J127" s="71" t="n">
        <v>13</v>
      </c>
      <c r="K127" s="63" t="inlineStr">
        <is>
          <t>#e6e6e6ff</t>
        </is>
      </c>
      <c r="L127" s="71" t="n">
        <v>3690</v>
      </c>
      <c r="M127" s="71" t="n">
        <v>775</v>
      </c>
      <c r="N127" s="71" t="n">
        <v>637</v>
      </c>
      <c r="O127" s="71" t="n">
        <v>-189</v>
      </c>
      <c r="P127" s="71" t="n">
        <v>28</v>
      </c>
      <c r="Q127" t="inlineStr">
        <is>
          <t>N101/C1</t>
        </is>
      </c>
      <c r="R127" t="n">
        <v>1</v>
      </c>
      <c r="S127" t="inlineStr">
        <is>
          <t>button_connect</t>
        </is>
      </c>
      <c r="T127" t="inlineStr">
        <is>
          <t>PASS</t>
        </is>
      </c>
    </row>
    <row r="128">
      <c r="A128" s="71" t="n">
        <v>124</v>
      </c>
      <c r="B128" t="inlineStr">
        <is>
          <t>mode</t>
        </is>
      </c>
      <c r="C128" t="inlineStr">
        <is>
          <t>PAN</t>
        </is>
      </c>
      <c r="D128" t="inlineStr">
        <is>
          <t>Pan Mode</t>
        </is>
      </c>
      <c r="E128" t="inlineStr">
        <is>
          <t>note</t>
        </is>
      </c>
      <c r="F128" s="71" t="n">
        <v>87</v>
      </c>
      <c r="G128" s="71" t="n">
        <v>1</v>
      </c>
      <c r="H128" t="inlineStr">
        <is>
          <t>N87/C1</t>
        </is>
      </c>
      <c r="I128" s="72" t="inlineStr">
        <is>
          <t>72057594037950352</t>
        </is>
      </c>
      <c r="J128" s="71" t="n">
        <v>49</v>
      </c>
      <c r="K128" s="54" t="inlineStr">
        <is>
          <t>#f08a24ff</t>
        </is>
      </c>
      <c r="L128" s="71" t="n">
        <v>3025</v>
      </c>
      <c r="M128" s="71" t="n">
        <v>395</v>
      </c>
      <c r="N128" s="71" t="n">
        <v>367</v>
      </c>
      <c r="O128" s="71" t="n">
        <v>-336</v>
      </c>
      <c r="P128" s="71" t="n">
        <v>32</v>
      </c>
      <c r="Q128" t="inlineStr">
        <is>
          <t>N87/C1</t>
        </is>
      </c>
      <c r="R128" t="n">
        <v>1</v>
      </c>
      <c r="S128" t="inlineStr">
        <is>
          <t>button_connect</t>
        </is>
      </c>
      <c r="T128" t="inlineStr">
        <is>
          <t>PASS</t>
        </is>
      </c>
    </row>
    <row r="129">
      <c r="A129" s="71" t="n">
        <v>125</v>
      </c>
      <c r="B129" t="inlineStr">
        <is>
          <t>right_column</t>
        </is>
      </c>
      <c r="C129" t="inlineStr">
        <is>
          <t>STOPALL</t>
        </is>
      </c>
      <c r="D129" t="inlineStr">
        <is>
          <t>Stop All Clips</t>
        </is>
      </c>
      <c r="E129" t="inlineStr">
        <is>
          <t>note</t>
        </is>
      </c>
      <c r="F129" s="71" t="n">
        <v>81</v>
      </c>
      <c r="G129" s="71" t="n">
        <v>1</v>
      </c>
      <c r="H129" t="inlineStr">
        <is>
          <t>N81/C1</t>
        </is>
      </c>
      <c r="I129" s="72" t="inlineStr">
        <is>
          <t>72057594037948816</t>
        </is>
      </c>
      <c r="J129" s="71" t="n">
        <v>5</v>
      </c>
      <c r="K129" s="63" t="inlineStr">
        <is>
          <t>#e6e6e6ff</t>
        </is>
      </c>
      <c r="L129" s="71" t="n">
        <v>2745</v>
      </c>
      <c r="M129" s="71" t="n">
        <v>1261</v>
      </c>
      <c r="N129" s="71" t="n">
        <v>254</v>
      </c>
      <c r="O129" s="71" t="n">
        <v>0</v>
      </c>
      <c r="P129" s="71" t="n">
        <v>30</v>
      </c>
      <c r="Q129" t="inlineStr">
        <is>
          <t>N81/C1</t>
        </is>
      </c>
      <c r="R129" t="n">
        <v>1</v>
      </c>
      <c r="S129" t="inlineStr">
        <is>
          <t>button_connect</t>
        </is>
      </c>
      <c r="T129" t="inlineStr">
        <is>
          <t>PASS</t>
        </is>
      </c>
    </row>
    <row r="130">
      <c r="A130" s="71" t="n">
        <v>126</v>
      </c>
      <c r="B130" t="inlineStr">
        <is>
          <t>navigation</t>
        </is>
      </c>
      <c r="C130" t="inlineStr">
        <is>
          <t>U</t>
        </is>
      </c>
      <c r="D130" t="inlineStr">
        <is>
          <t>Bank Up</t>
        </is>
      </c>
      <c r="E130" t="inlineStr">
        <is>
          <t>note</t>
        </is>
      </c>
      <c r="F130" s="71" t="n">
        <v>94</v>
      </c>
      <c r="G130" s="71" t="n">
        <v>1</v>
      </c>
      <c r="H130" t="inlineStr">
        <is>
          <t>N94/C1</t>
        </is>
      </c>
      <c r="I130" s="72" t="inlineStr">
        <is>
          <t>72057594037952144</t>
        </is>
      </c>
      <c r="J130" s="71" t="n">
        <v>49</v>
      </c>
      <c r="K130" s="63" t="inlineStr">
        <is>
          <t>#e6e6e6ff</t>
        </is>
      </c>
      <c r="L130" s="71" t="n">
        <v>3160</v>
      </c>
      <c r="M130" s="71" t="n">
        <v>2025</v>
      </c>
      <c r="N130" s="71" t="n">
        <v>422</v>
      </c>
      <c r="O130" s="71" t="n">
        <v>298</v>
      </c>
      <c r="P130" s="71" t="n">
        <v>24</v>
      </c>
      <c r="Q130" t="inlineStr">
        <is>
          <t>N94/C1</t>
        </is>
      </c>
      <c r="R130" t="n">
        <v>1</v>
      </c>
      <c r="S130" t="inlineStr">
        <is>
          <t>button_connect</t>
        </is>
      </c>
      <c r="T130" t="inlineStr">
        <is>
          <t>PASS</t>
        </is>
      </c>
    </row>
    <row r="131">
      <c r="A131" s="71" t="n">
        <v>127</v>
      </c>
      <c r="B131" t="inlineStr">
        <is>
          <t>navigation</t>
        </is>
      </c>
      <c r="C131" t="inlineStr">
        <is>
          <t>D</t>
        </is>
      </c>
      <c r="D131" t="inlineStr">
        <is>
          <t>Bank Down</t>
        </is>
      </c>
      <c r="E131" t="inlineStr">
        <is>
          <t>note</t>
        </is>
      </c>
      <c r="F131" s="71" t="n">
        <v>95</v>
      </c>
      <c r="G131" s="71" t="n">
        <v>1</v>
      </c>
      <c r="H131" t="inlineStr">
        <is>
          <t>N95/C1</t>
        </is>
      </c>
      <c r="I131" s="72" t="inlineStr">
        <is>
          <t>72057594037952400</t>
        </is>
      </c>
      <c r="J131" s="71" t="n">
        <v>49</v>
      </c>
      <c r="K131" s="63" t="inlineStr">
        <is>
          <t>#e6e6e6ff</t>
        </is>
      </c>
      <c r="L131" s="71" t="n">
        <v>3160</v>
      </c>
      <c r="M131" s="71" t="n">
        <v>2125</v>
      </c>
      <c r="N131" s="71" t="n">
        <v>422</v>
      </c>
      <c r="O131" s="71" t="n">
        <v>336</v>
      </c>
      <c r="P131" s="71" t="n">
        <v>24</v>
      </c>
      <c r="Q131" t="inlineStr">
        <is>
          <t>N95/C1</t>
        </is>
      </c>
      <c r="R131" t="n">
        <v>1</v>
      </c>
      <c r="S131" t="inlineStr">
        <is>
          <t>button_connect</t>
        </is>
      </c>
      <c r="T131" t="inlineStr">
        <is>
          <t>PASS</t>
        </is>
      </c>
    </row>
    <row r="132">
      <c r="A132" s="71" t="n">
        <v>128</v>
      </c>
      <c r="B132" t="inlineStr">
        <is>
          <t>navigation</t>
        </is>
      </c>
      <c r="C132" t="inlineStr">
        <is>
          <t>R</t>
        </is>
      </c>
      <c r="D132" t="inlineStr">
        <is>
          <t>Bank Right</t>
        </is>
      </c>
      <c r="E132" t="inlineStr">
        <is>
          <t>note</t>
        </is>
      </c>
      <c r="F132" s="71" t="n">
        <v>96</v>
      </c>
      <c r="G132" s="71" t="n">
        <v>1</v>
      </c>
      <c r="H132" t="inlineStr">
        <is>
          <t>N96/C1</t>
        </is>
      </c>
      <c r="I132" s="72" t="inlineStr">
        <is>
          <t>72057594037952656</t>
        </is>
      </c>
      <c r="J132" s="71" t="n">
        <v>49</v>
      </c>
      <c r="K132" s="63" t="inlineStr">
        <is>
          <t>#e6e6e6ff</t>
        </is>
      </c>
      <c r="L132" s="71" t="n">
        <v>3270</v>
      </c>
      <c r="M132" s="71" t="n">
        <v>2075</v>
      </c>
      <c r="N132" s="71" t="n">
        <v>467</v>
      </c>
      <c r="O132" s="71" t="n">
        <v>317</v>
      </c>
      <c r="P132" s="71" t="n">
        <v>24</v>
      </c>
      <c r="Q132" t="inlineStr">
        <is>
          <t>N96/C1</t>
        </is>
      </c>
      <c r="R132" t="n">
        <v>1</v>
      </c>
      <c r="S132" t="inlineStr">
        <is>
          <t>button_connect</t>
        </is>
      </c>
      <c r="T132" t="inlineStr">
        <is>
          <t>PASS</t>
        </is>
      </c>
    </row>
    <row r="133">
      <c r="A133" s="71" t="n">
        <v>129</v>
      </c>
      <c r="B133" t="inlineStr">
        <is>
          <t>navigation</t>
        </is>
      </c>
      <c r="C133" t="inlineStr">
        <is>
          <t>L</t>
        </is>
      </c>
      <c r="D133" t="inlineStr">
        <is>
          <t>Bank Left</t>
        </is>
      </c>
      <c r="E133" t="inlineStr">
        <is>
          <t>note</t>
        </is>
      </c>
      <c r="F133" s="71" t="n">
        <v>97</v>
      </c>
      <c r="G133" s="71" t="n">
        <v>1</v>
      </c>
      <c r="H133" t="inlineStr">
        <is>
          <t>N97/C1</t>
        </is>
      </c>
      <c r="I133" s="72" t="inlineStr">
        <is>
          <t>72057594037952912</t>
        </is>
      </c>
      <c r="J133" s="71" t="n">
        <v>49</v>
      </c>
      <c r="K133" s="63" t="inlineStr">
        <is>
          <t>#e6e6e6ff</t>
        </is>
      </c>
      <c r="L133" s="71" t="n">
        <v>3050</v>
      </c>
      <c r="M133" s="71" t="n">
        <v>2075</v>
      </c>
      <c r="N133" s="71" t="n">
        <v>377</v>
      </c>
      <c r="O133" s="71" t="n">
        <v>317</v>
      </c>
      <c r="P133" s="71" t="n">
        <v>24</v>
      </c>
      <c r="Q133" t="inlineStr">
        <is>
          <t>N97/C1</t>
        </is>
      </c>
      <c r="R133" t="n">
        <v>1</v>
      </c>
      <c r="S133" t="inlineStr">
        <is>
          <t>button_connect</t>
        </is>
      </c>
      <c r="T133" t="inlineStr">
        <is>
          <t>PASS</t>
        </is>
      </c>
    </row>
    <row r="134">
      <c r="A134" s="71" t="n">
        <v>130</v>
      </c>
      <c r="B134" t="inlineStr">
        <is>
          <t>navigation</t>
        </is>
      </c>
      <c r="C134" t="inlineStr">
        <is>
          <t>SHIFT</t>
        </is>
      </c>
      <c r="D134" t="inlineStr">
        <is>
          <t>Shift</t>
        </is>
      </c>
      <c r="E134" t="inlineStr">
        <is>
          <t>note</t>
        </is>
      </c>
      <c r="F134" s="71" t="n">
        <v>98</v>
      </c>
      <c r="G134" s="71" t="n">
        <v>1</v>
      </c>
      <c r="H134" t="inlineStr">
        <is>
          <t>N98/C1</t>
        </is>
      </c>
      <c r="I134" s="72" t="inlineStr">
        <is>
          <t>72057594037953168</t>
        </is>
      </c>
      <c r="J134" s="71" t="n">
        <v>49</v>
      </c>
      <c r="K134" s="63" t="inlineStr">
        <is>
          <t>#e6e6e6ff</t>
        </is>
      </c>
      <c r="L134" s="71" t="n">
        <v>3690</v>
      </c>
      <c r="M134" s="71" t="n">
        <v>2075</v>
      </c>
      <c r="N134" s="71" t="n">
        <v>637</v>
      </c>
      <c r="O134" s="71" t="n">
        <v>317</v>
      </c>
      <c r="P134" s="71" t="n">
        <v>28</v>
      </c>
      <c r="Q134" t="inlineStr">
        <is>
          <t>N98/C1</t>
        </is>
      </c>
      <c r="R134" t="n">
        <v>1</v>
      </c>
      <c r="S134" t="inlineStr">
        <is>
          <t>button_connect</t>
        </is>
      </c>
      <c r="T134" t="inlineStr">
        <is>
          <t>PASS</t>
        </is>
      </c>
    </row>
    <row r="135">
      <c r="A135" s="71" t="n">
        <v>131</v>
      </c>
      <c r="B135" t="inlineStr">
        <is>
          <t>device_button</t>
        </is>
      </c>
      <c r="C135" t="inlineStr">
        <is>
          <t>DEVICE&lt;</t>
        </is>
      </c>
      <c r="D135" t="inlineStr">
        <is>
          <t>Device Left</t>
        </is>
      </c>
      <c r="E135" t="inlineStr">
        <is>
          <t>note</t>
        </is>
      </c>
      <c r="F135" s="71" t="n">
        <v>58</v>
      </c>
      <c r="G135" s="71" t="n">
        <v>1</v>
      </c>
      <c r="H135" t="inlineStr">
        <is>
          <t>N58/C1</t>
        </is>
      </c>
      <c r="I135" s="72" t="inlineStr">
        <is>
          <t>72057594037942928</t>
        </is>
      </c>
      <c r="J135" s="71" t="n">
        <v>49</v>
      </c>
      <c r="K135" s="54" t="inlineStr">
        <is>
          <t>#f08a24ff</t>
        </is>
      </c>
      <c r="L135" s="71" t="n">
        <v>3050</v>
      </c>
      <c r="M135" s="71" t="n">
        <v>1660</v>
      </c>
      <c r="N135" s="71" t="n">
        <v>377</v>
      </c>
      <c r="O135" s="71" t="n">
        <v>156</v>
      </c>
      <c r="P135" s="71" t="n">
        <v>28</v>
      </c>
      <c r="Q135" t="inlineStr">
        <is>
          <t>N58/C1</t>
        </is>
      </c>
      <c r="R135" t="n">
        <v>1</v>
      </c>
      <c r="S135" t="inlineStr">
        <is>
          <t>button_connect</t>
        </is>
      </c>
      <c r="T135" t="inlineStr">
        <is>
          <t>PASS</t>
        </is>
      </c>
    </row>
    <row r="136">
      <c r="A136" s="71" t="n">
        <v>132</v>
      </c>
      <c r="B136" t="inlineStr">
        <is>
          <t>device_button</t>
        </is>
      </c>
      <c r="C136" t="inlineStr">
        <is>
          <t>DEVICE&gt;</t>
        </is>
      </c>
      <c r="D136" t="inlineStr">
        <is>
          <t>Device Right</t>
        </is>
      </c>
      <c r="E136" t="inlineStr">
        <is>
          <t>note</t>
        </is>
      </c>
      <c r="F136" s="71" t="n">
        <v>59</v>
      </c>
      <c r="G136" s="71" t="n">
        <v>1</v>
      </c>
      <c r="H136" t="inlineStr">
        <is>
          <t>N59/C1</t>
        </is>
      </c>
      <c r="I136" s="72" t="inlineStr">
        <is>
          <t>72057594037943184</t>
        </is>
      </c>
      <c r="J136" s="71" t="n">
        <v>49</v>
      </c>
      <c r="K136" s="54" t="inlineStr">
        <is>
          <t>#f08a24ff</t>
        </is>
      </c>
      <c r="L136" s="71" t="n">
        <v>3370</v>
      </c>
      <c r="M136" s="71" t="n">
        <v>1660</v>
      </c>
      <c r="N136" s="71" t="n">
        <v>507</v>
      </c>
      <c r="O136" s="71" t="n">
        <v>156</v>
      </c>
      <c r="P136" s="71" t="n">
        <v>28</v>
      </c>
      <c r="Q136" t="inlineStr">
        <is>
          <t>N59/C1</t>
        </is>
      </c>
      <c r="R136" t="n">
        <v>1</v>
      </c>
      <c r="S136" t="inlineStr">
        <is>
          <t>button_connect</t>
        </is>
      </c>
      <c r="T136" t="inlineStr">
        <is>
          <t>PASS</t>
        </is>
      </c>
    </row>
    <row r="137">
      <c r="A137" s="71" t="n">
        <v>133</v>
      </c>
      <c r="B137" t="inlineStr">
        <is>
          <t>device_button</t>
        </is>
      </c>
      <c r="C137" t="inlineStr">
        <is>
          <t>BANK&lt;</t>
        </is>
      </c>
      <c r="D137" t="inlineStr">
        <is>
          <t>Bank Left Button</t>
        </is>
      </c>
      <c r="E137" t="inlineStr">
        <is>
          <t>note</t>
        </is>
      </c>
      <c r="F137" s="71" t="n">
        <v>60</v>
      </c>
      <c r="G137" s="71" t="n">
        <v>1</v>
      </c>
      <c r="H137" t="inlineStr">
        <is>
          <t>N60/C1</t>
        </is>
      </c>
      <c r="I137" s="72" t="inlineStr">
        <is>
          <t>72057594037943440</t>
        </is>
      </c>
      <c r="J137" s="71" t="n">
        <v>49</v>
      </c>
      <c r="K137" s="54" t="inlineStr">
        <is>
          <t>#f08a24ff</t>
        </is>
      </c>
      <c r="L137" s="71" t="n">
        <v>3690</v>
      </c>
      <c r="M137" s="71" t="n">
        <v>1660</v>
      </c>
      <c r="N137" s="71" t="n">
        <v>637</v>
      </c>
      <c r="O137" s="71" t="n">
        <v>156</v>
      </c>
      <c r="P137" s="71" t="n">
        <v>28</v>
      </c>
      <c r="Q137" t="inlineStr">
        <is>
          <t>N60/C1</t>
        </is>
      </c>
      <c r="R137" t="n">
        <v>1</v>
      </c>
      <c r="S137" t="inlineStr">
        <is>
          <t>button_connect</t>
        </is>
      </c>
      <c r="T137" t="inlineStr">
        <is>
          <t>PASS</t>
        </is>
      </c>
    </row>
    <row r="138">
      <c r="A138" s="71" t="n">
        <v>134</v>
      </c>
      <c r="B138" t="inlineStr">
        <is>
          <t>device_button</t>
        </is>
      </c>
      <c r="C138" t="inlineStr">
        <is>
          <t>BANK&gt;</t>
        </is>
      </c>
      <c r="D138" t="inlineStr">
        <is>
          <t>Bank Right Button</t>
        </is>
      </c>
      <c r="E138" t="inlineStr">
        <is>
          <t>note</t>
        </is>
      </c>
      <c r="F138" s="71" t="n">
        <v>61</v>
      </c>
      <c r="G138" s="71" t="n">
        <v>1</v>
      </c>
      <c r="H138" t="inlineStr">
        <is>
          <t>N61/C1</t>
        </is>
      </c>
      <c r="I138" s="72" t="inlineStr">
        <is>
          <t>72057594037943696</t>
        </is>
      </c>
      <c r="J138" s="71" t="n">
        <v>49</v>
      </c>
      <c r="K138" s="54" t="inlineStr">
        <is>
          <t>#f08a24ff</t>
        </is>
      </c>
      <c r="L138" s="71" t="n">
        <v>4010</v>
      </c>
      <c r="M138" s="71" t="n">
        <v>1660</v>
      </c>
      <c r="N138" s="71" t="n">
        <v>767</v>
      </c>
      <c r="O138" s="71" t="n">
        <v>156</v>
      </c>
      <c r="P138" s="71" t="n">
        <v>28</v>
      </c>
      <c r="Q138" t="inlineStr">
        <is>
          <t>N61/C1</t>
        </is>
      </c>
      <c r="R138" t="n">
        <v>1</v>
      </c>
      <c r="S138" t="inlineStr">
        <is>
          <t>button_connect</t>
        </is>
      </c>
      <c r="T138" t="inlineStr">
        <is>
          <t>PASS</t>
        </is>
      </c>
    </row>
    <row r="139">
      <c r="A139" s="71" t="n">
        <v>135</v>
      </c>
      <c r="B139" t="inlineStr">
        <is>
          <t>device_button</t>
        </is>
      </c>
      <c r="C139" t="inlineStr">
        <is>
          <t>ON/OFF</t>
        </is>
      </c>
      <c r="D139" t="inlineStr">
        <is>
          <t>Device On Off</t>
        </is>
      </c>
      <c r="E139" t="inlineStr">
        <is>
          <t>note</t>
        </is>
      </c>
      <c r="F139" s="71" t="n">
        <v>62</v>
      </c>
      <c r="G139" s="71" t="n">
        <v>1</v>
      </c>
      <c r="H139" t="inlineStr">
        <is>
          <t>N62/C1</t>
        </is>
      </c>
      <c r="I139" s="72" t="inlineStr">
        <is>
          <t>72057594037943952</t>
        </is>
      </c>
      <c r="J139" s="71" t="n">
        <v>21</v>
      </c>
      <c r="K139" s="54" t="inlineStr">
        <is>
          <t>#f08a24ff</t>
        </is>
      </c>
      <c r="L139" s="71" t="n">
        <v>3050</v>
      </c>
      <c r="M139" s="71" t="n">
        <v>1830</v>
      </c>
      <c r="N139" s="71" t="n">
        <v>377</v>
      </c>
      <c r="O139" s="71" t="n">
        <v>222</v>
      </c>
      <c r="P139" s="71" t="n">
        <v>28</v>
      </c>
      <c r="Q139" t="inlineStr">
        <is>
          <t>N62/C1</t>
        </is>
      </c>
      <c r="R139" t="n">
        <v>1</v>
      </c>
      <c r="S139" t="inlineStr">
        <is>
          <t>button_connect</t>
        </is>
      </c>
      <c r="T139" t="inlineStr">
        <is>
          <t>PASS</t>
        </is>
      </c>
    </row>
    <row r="140">
      <c r="A140" s="71" t="n">
        <v>136</v>
      </c>
      <c r="B140" t="inlineStr">
        <is>
          <t>device_button</t>
        </is>
      </c>
      <c r="C140" t="inlineStr">
        <is>
          <t>LOCK</t>
        </is>
      </c>
      <c r="D140" t="inlineStr">
        <is>
          <t>Device Lock</t>
        </is>
      </c>
      <c r="E140" t="inlineStr">
        <is>
          <t>note</t>
        </is>
      </c>
      <c r="F140" s="71" t="n">
        <v>63</v>
      </c>
      <c r="G140" s="71" t="n">
        <v>1</v>
      </c>
      <c r="H140" t="inlineStr">
        <is>
          <t>N63/C1</t>
        </is>
      </c>
      <c r="I140" s="72" t="inlineStr">
        <is>
          <t>72057594037944208</t>
        </is>
      </c>
      <c r="J140" s="71" t="n">
        <v>49</v>
      </c>
      <c r="K140" s="54" t="inlineStr">
        <is>
          <t>#f08a24ff</t>
        </is>
      </c>
      <c r="L140" s="71" t="n">
        <v>3370</v>
      </c>
      <c r="M140" s="71" t="n">
        <v>1830</v>
      </c>
      <c r="N140" s="71" t="n">
        <v>507</v>
      </c>
      <c r="O140" s="71" t="n">
        <v>222</v>
      </c>
      <c r="P140" s="71" t="n">
        <v>28</v>
      </c>
      <c r="Q140" t="inlineStr">
        <is>
          <t>N63/C1</t>
        </is>
      </c>
      <c r="R140" t="n">
        <v>1</v>
      </c>
      <c r="S140" t="inlineStr">
        <is>
          <t>button_connect</t>
        </is>
      </c>
      <c r="T140" t="inlineStr">
        <is>
          <t>PASS</t>
        </is>
      </c>
    </row>
    <row r="141">
      <c r="A141" s="71" t="n">
        <v>137</v>
      </c>
      <c r="B141" t="inlineStr">
        <is>
          <t>device_button</t>
        </is>
      </c>
      <c r="C141" t="inlineStr">
        <is>
          <t>CLIP/DEV</t>
        </is>
      </c>
      <c r="D141" t="inlineStr">
        <is>
          <t>Clip Device View</t>
        </is>
      </c>
      <c r="E141" t="inlineStr">
        <is>
          <t>note</t>
        </is>
      </c>
      <c r="F141" s="71" t="n">
        <v>64</v>
      </c>
      <c r="G141" s="71" t="n">
        <v>1</v>
      </c>
      <c r="H141" t="inlineStr">
        <is>
          <t>N64/C1</t>
        </is>
      </c>
      <c r="I141" s="72" t="inlineStr">
        <is>
          <t>72057594037944464</t>
        </is>
      </c>
      <c r="J141" s="71" t="n">
        <v>49</v>
      </c>
      <c r="K141" s="54" t="inlineStr">
        <is>
          <t>#f08a24ff</t>
        </is>
      </c>
      <c r="L141" s="71" t="n">
        <v>3690</v>
      </c>
      <c r="M141" s="71" t="n">
        <v>1830</v>
      </c>
      <c r="N141" s="71" t="n">
        <v>637</v>
      </c>
      <c r="O141" s="71" t="n">
        <v>222</v>
      </c>
      <c r="P141" s="71" t="n">
        <v>26</v>
      </c>
      <c r="Q141" t="inlineStr">
        <is>
          <t>N64/C1</t>
        </is>
      </c>
      <c r="R141" t="n">
        <v>1</v>
      </c>
      <c r="S141" t="inlineStr">
        <is>
          <t>button_connect</t>
        </is>
      </c>
      <c r="T141" t="inlineStr">
        <is>
          <t>PASS</t>
        </is>
      </c>
    </row>
    <row r="142">
      <c r="A142" s="71" t="n">
        <v>138</v>
      </c>
      <c r="B142" t="inlineStr">
        <is>
          <t>device_button</t>
        </is>
      </c>
      <c r="C142" t="inlineStr">
        <is>
          <t>DETAIL</t>
        </is>
      </c>
      <c r="D142" t="inlineStr">
        <is>
          <t>Detail View</t>
        </is>
      </c>
      <c r="E142" t="inlineStr">
        <is>
          <t>note</t>
        </is>
      </c>
      <c r="F142" s="71" t="n">
        <v>65</v>
      </c>
      <c r="G142" s="71" t="n">
        <v>1</v>
      </c>
      <c r="H142" t="inlineStr">
        <is>
          <t>N65/C1</t>
        </is>
      </c>
      <c r="I142" s="72" t="inlineStr">
        <is>
          <t>72057594037944720</t>
        </is>
      </c>
      <c r="J142" s="71" t="n">
        <v>49</v>
      </c>
      <c r="K142" s="54" t="inlineStr">
        <is>
          <t>#f08a24ff</t>
        </is>
      </c>
      <c r="L142" s="71" t="n">
        <v>4010</v>
      </c>
      <c r="M142" s="71" t="n">
        <v>1830</v>
      </c>
      <c r="N142" s="71" t="n">
        <v>767</v>
      </c>
      <c r="O142" s="71" t="n">
        <v>222</v>
      </c>
      <c r="P142" s="71" t="n">
        <v>28</v>
      </c>
      <c r="Q142" t="inlineStr">
        <is>
          <t>N65/C1</t>
        </is>
      </c>
      <c r="R142" t="n">
        <v>1</v>
      </c>
      <c r="S142" t="inlineStr">
        <is>
          <t>button_connect</t>
        </is>
      </c>
      <c r="T142" t="inlineStr">
        <is>
          <t>PASS</t>
        </is>
      </c>
    </row>
    <row r="143">
      <c r="A143" s="71" t="n">
        <v>139</v>
      </c>
      <c r="B143" t="inlineStr">
        <is>
          <t>mode</t>
        </is>
      </c>
      <c r="C143" t="inlineStr">
        <is>
          <t>SENDS</t>
        </is>
      </c>
      <c r="D143" t="inlineStr">
        <is>
          <t>Sends Mode</t>
        </is>
      </c>
      <c r="E143" t="inlineStr">
        <is>
          <t>note</t>
        </is>
      </c>
      <c r="F143" s="71" t="n">
        <v>88</v>
      </c>
      <c r="G143" s="71" t="n">
        <v>1</v>
      </c>
      <c r="H143" t="inlineStr">
        <is>
          <t>N88/C1</t>
        </is>
      </c>
      <c r="I143" s="72" t="inlineStr">
        <is>
          <t>72057594037950608</t>
        </is>
      </c>
      <c r="J143" s="71" t="n">
        <v>49</v>
      </c>
      <c r="K143" s="54" t="inlineStr">
        <is>
          <t>#f08a24ff</t>
        </is>
      </c>
      <c r="L143" s="71" t="n">
        <v>3025</v>
      </c>
      <c r="M143" s="71" t="n">
        <v>585</v>
      </c>
      <c r="N143" s="71" t="n">
        <v>367</v>
      </c>
      <c r="O143" s="71" t="n">
        <v>-262</v>
      </c>
      <c r="P143" s="71" t="n">
        <v>30</v>
      </c>
      <c r="Q143" t="inlineStr">
        <is>
          <t>N88/C1</t>
        </is>
      </c>
      <c r="R143" t="n">
        <v>1</v>
      </c>
      <c r="S143" t="inlineStr">
        <is>
          <t>button_connect</t>
        </is>
      </c>
      <c r="T143" t="inlineStr">
        <is>
          <t>PASS</t>
        </is>
      </c>
    </row>
    <row r="144">
      <c r="A144" s="71" t="n">
        <v>140</v>
      </c>
      <c r="B144" t="inlineStr">
        <is>
          <t>mode</t>
        </is>
      </c>
      <c r="C144" t="inlineStr">
        <is>
          <t>USER</t>
        </is>
      </c>
      <c r="D144" t="inlineStr">
        <is>
          <t>User Mode</t>
        </is>
      </c>
      <c r="E144" t="inlineStr">
        <is>
          <t>note</t>
        </is>
      </c>
      <c r="F144" s="71" t="n">
        <v>89</v>
      </c>
      <c r="G144" s="71" t="n">
        <v>1</v>
      </c>
      <c r="H144" t="inlineStr">
        <is>
          <t>N89/C1</t>
        </is>
      </c>
      <c r="I144" s="72" t="inlineStr">
        <is>
          <t>72057594037950864</t>
        </is>
      </c>
      <c r="J144" s="71" t="n">
        <v>49</v>
      </c>
      <c r="K144" s="54" t="inlineStr">
        <is>
          <t>#f08a24ff</t>
        </is>
      </c>
      <c r="L144" s="71" t="n">
        <v>3025</v>
      </c>
      <c r="M144" s="71" t="n">
        <v>775</v>
      </c>
      <c r="N144" s="71" t="n">
        <v>367</v>
      </c>
      <c r="O144" s="71" t="n">
        <v>-189</v>
      </c>
      <c r="P144" s="71" t="n">
        <v>30</v>
      </c>
      <c r="Q144" t="inlineStr">
        <is>
          <t>N89/C1</t>
        </is>
      </c>
      <c r="R144" t="n">
        <v>1</v>
      </c>
      <c r="S144" t="inlineStr">
        <is>
          <t>button_connect</t>
        </is>
      </c>
      <c r="T144" t="inlineStr">
        <is>
          <t>PASS</t>
        </is>
      </c>
    </row>
    <row r="145">
      <c r="A145" s="71" t="n">
        <v>141</v>
      </c>
      <c r="B145" t="inlineStr">
        <is>
          <t>transport</t>
        </is>
      </c>
      <c r="C145" t="inlineStr">
        <is>
          <t>METRO</t>
        </is>
      </c>
      <c r="D145" t="inlineStr">
        <is>
          <t>Metronome</t>
        </is>
      </c>
      <c r="E145" t="inlineStr">
        <is>
          <t>note</t>
        </is>
      </c>
      <c r="F145" s="71" t="n">
        <v>90</v>
      </c>
      <c r="G145" s="71" t="n">
        <v>1</v>
      </c>
      <c r="H145" t="inlineStr">
        <is>
          <t>N90/C1</t>
        </is>
      </c>
      <c r="I145" s="72" t="inlineStr">
        <is>
          <t>72057594037951120</t>
        </is>
      </c>
      <c r="J145" s="71" t="n">
        <v>13</v>
      </c>
      <c r="K145" s="54" t="inlineStr">
        <is>
          <t>#f08a24ff</t>
        </is>
      </c>
      <c r="L145" s="71" t="n">
        <v>3370</v>
      </c>
      <c r="M145" s="71" t="n">
        <v>585</v>
      </c>
      <c r="N145" s="71" t="n">
        <v>507</v>
      </c>
      <c r="O145" s="71" t="n">
        <v>-262</v>
      </c>
      <c r="P145" s="71" t="n">
        <v>30</v>
      </c>
      <c r="Q145" t="inlineStr">
        <is>
          <t>N90/C1</t>
        </is>
      </c>
      <c r="R145" t="n">
        <v>1</v>
      </c>
      <c r="S145" t="inlineStr">
        <is>
          <t>button_connect</t>
        </is>
      </c>
      <c r="T145" t="inlineStr">
        <is>
          <t>PASS</t>
        </is>
      </c>
    </row>
    <row r="146">
      <c r="A146" s="71" t="n">
        <v>142</v>
      </c>
      <c r="B146" t="inlineStr">
        <is>
          <t>transport</t>
        </is>
      </c>
      <c r="C146" t="inlineStr">
        <is>
          <t>SESSION</t>
        </is>
      </c>
      <c r="D146" t="inlineStr">
        <is>
          <t>Session Record</t>
        </is>
      </c>
      <c r="E146" t="inlineStr">
        <is>
          <t>note</t>
        </is>
      </c>
      <c r="F146" s="71" t="n">
        <v>102</v>
      </c>
      <c r="G146" s="71" t="n">
        <v>1</v>
      </c>
      <c r="H146" t="inlineStr">
        <is>
          <t>N102/C1</t>
        </is>
      </c>
      <c r="I146" s="72" t="inlineStr">
        <is>
          <t>72057594037954192</t>
        </is>
      </c>
      <c r="J146" s="71" t="n">
        <v>53</v>
      </c>
      <c r="K146" s="54" t="inlineStr">
        <is>
          <t>#f08a24ff</t>
        </is>
      </c>
      <c r="L146" s="71" t="n">
        <v>4010</v>
      </c>
      <c r="M146" s="71" t="n">
        <v>395</v>
      </c>
      <c r="N146" s="71" t="n">
        <v>767</v>
      </c>
      <c r="O146" s="71" t="n">
        <v>-336</v>
      </c>
      <c r="P146" s="71" t="n">
        <v>28</v>
      </c>
      <c r="Q146" t="inlineStr">
        <is>
          <t>N102/C1</t>
        </is>
      </c>
      <c r="R146" t="n">
        <v>1</v>
      </c>
      <c r="S146" t="inlineStr">
        <is>
          <t>button_connect</t>
        </is>
      </c>
      <c r="T146" t="inlineStr">
        <is>
          <t>PASS</t>
        </is>
      </c>
    </row>
    <row r="147">
      <c r="A147" s="71" t="n">
        <v>143</v>
      </c>
      <c r="B147" t="inlineStr">
        <is>
          <t>special_cc</t>
        </is>
      </c>
      <c r="C147" t="inlineStr">
        <is>
          <t>MASTER</t>
        </is>
      </c>
      <c r="D147" t="inlineStr">
        <is>
          <t>Master Fader</t>
        </is>
      </c>
      <c r="E147" t="inlineStr">
        <is>
          <t>cc</t>
        </is>
      </c>
      <c r="F147" s="71" t="n">
        <v>14</v>
      </c>
      <c r="G147" s="71" t="n">
        <v>1</v>
      </c>
      <c r="H147" t="inlineStr">
        <is>
          <t>CC14/C1</t>
        </is>
      </c>
      <c r="I147" s="72" t="inlineStr">
        <is>
          <t>144115188075859632</t>
        </is>
      </c>
      <c r="J147" s="71" t="n">
        <v>0</v>
      </c>
      <c r="K147" s="63" t="inlineStr">
        <is>
          <t>#e6e6e6ff</t>
        </is>
      </c>
      <c r="L147" s="71" t="n">
        <v>2745</v>
      </c>
      <c r="M147" s="71" t="n">
        <v>2180</v>
      </c>
      <c r="N147" s="71" t="n">
        <v>254</v>
      </c>
      <c r="O147" s="71" t="n">
        <v>358</v>
      </c>
      <c r="P147" s="71" t="n">
        <v>36</v>
      </c>
      <c r="Q147" t="inlineStr">
        <is>
          <t>CC14/C1</t>
        </is>
      </c>
      <c r="R147" t="n">
        <v>3</v>
      </c>
      <c r="S147" t="inlineStr">
        <is>
          <t>wake, opacity, motion_y</t>
        </is>
      </c>
      <c r="T147" t="inlineStr">
        <is>
          <t>PASS</t>
        </is>
      </c>
    </row>
    <row r="148">
      <c r="A148" s="71" t="n">
        <v>144</v>
      </c>
      <c r="B148" t="inlineStr">
        <is>
          <t>special_cc</t>
        </is>
      </c>
      <c r="C148" t="inlineStr">
        <is>
          <t>X-FADE</t>
        </is>
      </c>
      <c r="D148" t="inlineStr">
        <is>
          <t>Crossfader</t>
        </is>
      </c>
      <c r="E148" t="inlineStr">
        <is>
          <t>cc</t>
        </is>
      </c>
      <c r="F148" s="71" t="n">
        <v>15</v>
      </c>
      <c r="G148" s="71" t="n">
        <v>1</v>
      </c>
      <c r="H148" t="inlineStr">
        <is>
          <t>CC15/C1</t>
        </is>
      </c>
      <c r="I148" s="72" t="inlineStr">
        <is>
          <t>144115188075859888</t>
        </is>
      </c>
      <c r="J148" s="71" t="n">
        <v>0</v>
      </c>
      <c r="K148" s="63" t="inlineStr">
        <is>
          <t>#e6e6e6ff</t>
        </is>
      </c>
      <c r="L148" s="71" t="n">
        <v>3690</v>
      </c>
      <c r="M148" s="71" t="n">
        <v>2380</v>
      </c>
      <c r="N148" s="71" t="n">
        <v>637</v>
      </c>
      <c r="O148" s="71" t="n">
        <v>436</v>
      </c>
      <c r="P148" s="71" t="n">
        <v>34</v>
      </c>
      <c r="Q148" t="inlineStr">
        <is>
          <t>CC15/C1</t>
        </is>
      </c>
      <c r="R148" t="n">
        <v>3</v>
      </c>
      <c r="S148" t="inlineStr">
        <is>
          <t>wake, opacity, motion_x</t>
        </is>
      </c>
      <c r="T148" t="inlineStr">
        <is>
          <t>PASS</t>
        </is>
      </c>
    </row>
    <row r="149">
      <c r="A149" s="71" t="n">
        <v>145</v>
      </c>
      <c r="B149" t="inlineStr">
        <is>
          <t>special_cc</t>
        </is>
      </c>
      <c r="C149" t="inlineStr">
        <is>
          <t>CUE</t>
        </is>
      </c>
      <c r="D149" t="inlineStr">
        <is>
          <t>Cue Level</t>
        </is>
      </c>
      <c r="E149" t="inlineStr">
        <is>
          <t>cc</t>
        </is>
      </c>
      <c r="F149" s="71" t="n">
        <v>47</v>
      </c>
      <c r="G149" s="71" t="n">
        <v>1</v>
      </c>
      <c r="H149" t="inlineStr">
        <is>
          <t>CC47/C1</t>
        </is>
      </c>
      <c r="I149" s="72" t="inlineStr">
        <is>
          <t>144115188075868080</t>
        </is>
      </c>
      <c r="J149" s="71" t="n">
        <v>0</v>
      </c>
      <c r="K149" s="63" t="inlineStr">
        <is>
          <t>#e6e6e6ff</t>
        </is>
      </c>
      <c r="L149" s="71" t="n">
        <v>2745</v>
      </c>
      <c r="M149" s="71" t="n">
        <v>1662</v>
      </c>
      <c r="N149" s="71" t="n">
        <v>254</v>
      </c>
      <c r="O149" s="71" t="n">
        <v>156</v>
      </c>
      <c r="P149" s="71" t="n">
        <v>32</v>
      </c>
      <c r="Q149" t="inlineStr">
        <is>
          <t>CC47/C1</t>
        </is>
      </c>
      <c r="R149" t="n">
        <v>3</v>
      </c>
      <c r="S149" t="inlineStr">
        <is>
          <t>wake, opacity, motion_rotation</t>
        </is>
      </c>
      <c r="T149" t="inlineStr">
        <is>
          <t>PASS</t>
        </is>
      </c>
    </row>
    <row r="150">
      <c r="A150" s="71" t="n">
        <v>146</v>
      </c>
      <c r="B150" t="inlineStr">
        <is>
          <t>right_column</t>
        </is>
      </c>
      <c r="C150" t="inlineStr">
        <is>
          <t>MASTER</t>
        </is>
      </c>
      <c r="D150" t="inlineStr">
        <is>
          <t>Master Select</t>
        </is>
      </c>
      <c r="E150" t="inlineStr">
        <is>
          <t>note</t>
        </is>
      </c>
      <c r="F150" s="71" t="n">
        <v>80</v>
      </c>
      <c r="G150" s="71" t="n">
        <v>1</v>
      </c>
      <c r="H150" t="inlineStr">
        <is>
          <t>N80/C1</t>
        </is>
      </c>
      <c r="I150" s="72" t="inlineStr">
        <is>
          <t>72057594037948560</t>
        </is>
      </c>
      <c r="J150" s="71" t="n">
        <v>45</v>
      </c>
      <c r="K150" s="54" t="inlineStr">
        <is>
          <t>#f08a24ff</t>
        </is>
      </c>
      <c r="L150" s="71" t="n">
        <v>2745</v>
      </c>
      <c r="M150" s="71" t="n">
        <v>1436</v>
      </c>
      <c r="N150" s="71" t="n">
        <v>254</v>
      </c>
      <c r="O150" s="71" t="n">
        <v>68</v>
      </c>
      <c r="P150" s="71" t="n">
        <v>30</v>
      </c>
      <c r="Q150" t="inlineStr">
        <is>
          <t>N80/C1</t>
        </is>
      </c>
      <c r="R150" t="n">
        <v>1</v>
      </c>
      <c r="S150" t="inlineStr">
        <is>
          <t>button_connect</t>
        </is>
      </c>
      <c r="T150" t="inlineStr">
        <is>
          <t>PASS</t>
        </is>
      </c>
    </row>
    <row r="151">
      <c r="A151" s="71" t="n">
        <v>147</v>
      </c>
      <c r="B151" t="inlineStr">
        <is>
          <t>navigation</t>
        </is>
      </c>
      <c r="C151" t="inlineStr">
        <is>
          <t>BANKLCK</t>
        </is>
      </c>
      <c r="D151" t="inlineStr">
        <is>
          <t>Bank Lock</t>
        </is>
      </c>
      <c r="E151" t="inlineStr">
        <is>
          <t>note</t>
        </is>
      </c>
      <c r="F151" s="71" t="n">
        <v>103</v>
      </c>
      <c r="G151" s="71" t="n">
        <v>1</v>
      </c>
      <c r="H151" t="inlineStr">
        <is>
          <t>N103/C1</t>
        </is>
      </c>
      <c r="I151" s="72" t="inlineStr">
        <is>
          <t>72057594037954448</t>
        </is>
      </c>
      <c r="J151" s="71" t="n">
        <v>49</v>
      </c>
      <c r="K151" s="54" t="inlineStr">
        <is>
          <t>#f08a24ff</t>
        </is>
      </c>
      <c r="L151" s="71" t="n">
        <v>4010</v>
      </c>
      <c r="M151" s="71" t="n">
        <v>2075</v>
      </c>
      <c r="N151" s="71" t="n">
        <v>767</v>
      </c>
      <c r="O151" s="71" t="n">
        <v>317</v>
      </c>
      <c r="P151" s="71" t="n">
        <v>26</v>
      </c>
      <c r="Q151" t="inlineStr">
        <is>
          <t>N103/C1</t>
        </is>
      </c>
      <c r="R151" t="n">
        <v>1</v>
      </c>
      <c r="S151" t="inlineStr">
        <is>
          <t>button_connect</t>
        </is>
      </c>
      <c r="T151" t="inlineStr">
        <is>
          <t>PASS</t>
        </is>
      </c>
    </row>
    <row r="152">
      <c r="A152" s="71" t="n">
        <v>148</v>
      </c>
      <c r="B152" t="inlineStr">
        <is>
          <t>tempo</t>
        </is>
      </c>
      <c r="C152" t="inlineStr">
        <is>
          <t>TEMPO</t>
        </is>
      </c>
      <c r="D152" t="inlineStr">
        <is>
          <t>Tempo Knob</t>
        </is>
      </c>
      <c r="E152" t="inlineStr">
        <is>
          <t>cc</t>
        </is>
      </c>
      <c r="F152" s="71" t="n">
        <v>13</v>
      </c>
      <c r="G152" s="71" t="n">
        <v>1</v>
      </c>
      <c r="H152" t="inlineStr">
        <is>
          <t>CC13/C1</t>
        </is>
      </c>
      <c r="I152" s="72" t="inlineStr">
        <is>
          <t>144115188075859376</t>
        </is>
      </c>
      <c r="J152" s="71" t="n">
        <v>0</v>
      </c>
      <c r="K152" s="51" t="inlineStr">
        <is>
          <t>#e23b3bff</t>
        </is>
      </c>
      <c r="L152" s="71" t="n">
        <v>4010</v>
      </c>
      <c r="M152" s="71" t="n">
        <v>650</v>
      </c>
      <c r="N152" s="71" t="n">
        <v>767</v>
      </c>
      <c r="O152" s="71" t="n">
        <v>-237</v>
      </c>
      <c r="P152" s="71" t="n">
        <v>28</v>
      </c>
      <c r="Q152" t="inlineStr">
        <is>
          <t>CC13/C1</t>
        </is>
      </c>
      <c r="R152" t="n">
        <v>2</v>
      </c>
      <c r="S152" t="inlineStr">
        <is>
          <t>wake, tempo_motion</t>
        </is>
      </c>
      <c r="T152" t="inlineStr">
        <is>
          <t>PASS</t>
        </is>
      </c>
    </row>
  </sheetData>
  <mergeCells count="2">
    <mergeCell ref="A1:T1"/>
    <mergeCell ref="A2:T2"/>
  </mergeCells>
  <conditionalFormatting sqref="T5:T15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8" customWidth="1" min="4" max="4"/>
    <col width="14" customWidth="1" min="5" max="5"/>
    <col width="24" customWidth="1" min="6" max="6"/>
    <col width="10" customWidth="1" min="7" max="7"/>
    <col width="9" customWidth="1" min="8" max="8"/>
    <col width="9" customWidth="1" min="9" max="9"/>
    <col width="23" customWidth="1" min="10" max="10"/>
    <col width="14" customWidth="1" min="11" max="11"/>
    <col width="5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3" customWidth="1" min="17" max="17"/>
    <col width="11" customWidth="1" min="18" max="18"/>
    <col width="11" customWidth="1" min="19" max="19"/>
    <col width="18" customWidth="1" min="20" max="20"/>
    <col width="48" customWidth="1" min="21" max="21"/>
    <col width="44" customWidth="1" min="22" max="22"/>
    <col width="44" customWidth="1" min="23" max="23"/>
    <col width="64" customWidth="1" min="24" max="24"/>
  </cols>
  <sheetData>
    <row r="1" ht="28" customHeight="1">
      <c r="A1" s="64" t="inlineStr">
        <is>
          <t>Accepted XML Shortcut Stream — 203 Records</t>
        </is>
      </c>
    </row>
    <row r="2" ht="20" customHeight="1">
      <c r="A2" s="5" t="inlineStr">
        <is>
          <t>Source SHA-256 4628634b4fb9a9909a5b1ee9d7c9df1a759371cc7a90ce183d8bb4cc40d1abc5 — record order preserved exactly as installed</t>
        </is>
      </c>
    </row>
    <row r="4" ht="32" customHeight="1">
      <c r="A4" s="15" t="inlineStr">
        <is>
          <t>Order</t>
        </is>
      </c>
      <c r="B4" s="37" t="inlineStr">
        <is>
          <t>Unique ID</t>
        </is>
      </c>
      <c r="C4" s="37" t="inlineStr">
        <is>
          <t>Role</t>
        </is>
      </c>
      <c r="D4" s="37" t="inlineStr">
        <is>
          <t>Layer</t>
        </is>
      </c>
      <c r="E4" s="37" t="inlineStr">
        <is>
          <t>Control</t>
        </is>
      </c>
      <c r="F4" s="37" t="inlineStr">
        <is>
          <t>Layer Name</t>
        </is>
      </c>
      <c r="G4" s="37" t="inlineStr">
        <is>
          <t>MIDI Type</t>
        </is>
      </c>
      <c r="H4" s="37" t="inlineStr">
        <is>
          <t>Data 1</t>
        </is>
      </c>
      <c r="I4" s="37" t="inlineStr">
        <is>
          <t>Channel</t>
        </is>
      </c>
      <c r="J4" s="37" t="inlineStr">
        <is>
          <t>Raw Key</t>
        </is>
      </c>
      <c r="K4" s="37" t="inlineStr">
        <is>
          <t>MIDI Address</t>
        </is>
      </c>
      <c r="L4" s="37" t="inlineStr">
        <is>
          <t>Input Path</t>
        </is>
      </c>
      <c r="M4" s="37" t="inlineStr">
        <is>
          <t>Behaviour</t>
        </is>
      </c>
      <c r="N4" s="37" t="inlineStr">
        <is>
          <t>Input Mode</t>
        </is>
      </c>
      <c r="O4" s="37" t="inlineStr">
        <is>
          <t>Range Min</t>
        </is>
      </c>
      <c r="P4" s="37" t="inlineStr">
        <is>
          <t>Range Max</t>
        </is>
      </c>
      <c r="Q4" s="37" t="inlineStr">
        <is>
          <t>Direction</t>
        </is>
      </c>
      <c r="R4" s="37" t="inlineStr">
        <is>
          <t>Num Steps</t>
        </is>
      </c>
      <c r="S4" s="37" t="inlineStr">
        <is>
          <t>Raw Value</t>
        </is>
      </c>
      <c r="T4" s="37" t="inlineStr">
        <is>
          <t>Output Device</t>
        </is>
      </c>
      <c r="U4" s="37" t="inlineStr">
        <is>
          <t>Output Path</t>
        </is>
      </c>
      <c r="V4" s="37" t="inlineStr">
        <is>
          <t>Input Sibling</t>
        </is>
      </c>
      <c r="W4" s="37" t="inlineStr">
        <is>
          <t>Output Sibling</t>
        </is>
      </c>
      <c r="X4" s="16" t="inlineStr">
        <is>
          <t>Named Values</t>
        </is>
      </c>
    </row>
    <row r="5">
      <c r="A5" s="71" t="n">
        <v>1</v>
      </c>
      <c r="B5" s="72" t="inlineStr">
        <is>
          <t>1784313900056</t>
        </is>
      </c>
      <c r="C5" t="inlineStr">
        <is>
          <t>button_connect</t>
        </is>
      </c>
      <c r="D5" s="71" t="n">
        <v>56</v>
      </c>
      <c r="E5" t="inlineStr">
        <is>
          <t>SEL3</t>
        </is>
      </c>
      <c r="F5" t="inlineStr">
        <is>
          <t>Track Select 3</t>
        </is>
      </c>
      <c r="G5" t="inlineStr">
        <is>
          <t>note</t>
        </is>
      </c>
      <c r="H5" s="72" t="n">
        <v>51</v>
      </c>
      <c r="I5" s="72" t="n">
        <v>3</v>
      </c>
      <c r="J5" s="72" t="inlineStr">
        <is>
          <t>72057594037941138</t>
        </is>
      </c>
      <c r="K5" t="inlineStr">
        <is>
          <t>N51/C3</t>
        </is>
      </c>
      <c r="L5" t="inlineStr">
        <is>
          <t>/composition/layers/56/clips/1/connect</t>
        </is>
      </c>
      <c r="M5" s="71" t="n">
        <v>1028</v>
      </c>
      <c r="N5" t="inlineStr">
        <is>
          <t>Button / value</t>
        </is>
      </c>
      <c r="O5" s="73" t="n"/>
      <c r="P5" s="73" t="n"/>
      <c r="R5" s="71" t="n">
        <v>128</v>
      </c>
      <c r="S5" s="71" t="n">
        <v>0</v>
      </c>
      <c r="T5" t="inlineStr">
        <is>
          <t>APC40 mkII</t>
        </is>
      </c>
      <c r="U5" t="inlineStr">
        <is>
          <t>/composition/layers/56/clips/1/connect</t>
        </is>
      </c>
      <c r="V5" t="inlineStr">
        <is>
          <t>/composition/layers/56/clips/1/connected</t>
        </is>
      </c>
      <c r="W5" t="inlineStr">
        <is>
          <t>/composition/layers/56/clips/1/connected</t>
        </is>
      </c>
      <c r="X5" t="inlineStr">
        <is>
          <t>Connected=0.35433070866141730404; Connected &amp; previewing=0.35433070866141730404; Disconnected=0; Empty=0; Off=0; Previewing=0</t>
        </is>
      </c>
    </row>
    <row r="6">
      <c r="A6" s="71" t="n">
        <v>2</v>
      </c>
      <c r="B6" s="72" t="inlineStr">
        <is>
          <t>1784313900001</t>
        </is>
      </c>
      <c r="C6" t="inlineStr">
        <is>
          <t>button_connect</t>
        </is>
      </c>
      <c r="D6" s="71" t="n">
        <v>1</v>
      </c>
      <c r="E6" t="inlineStr">
        <is>
          <t>G1-5</t>
        </is>
      </c>
      <c r="F6" t="inlineStr">
        <is>
          <t>Grid 5 Track 1</t>
        </is>
      </c>
      <c r="G6" t="inlineStr">
        <is>
          <t>note</t>
        </is>
      </c>
      <c r="H6" s="72" t="n">
        <v>0</v>
      </c>
      <c r="I6" s="72" t="n">
        <v>1</v>
      </c>
      <c r="J6" s="72" t="inlineStr">
        <is>
          <t>72057594037928080</t>
        </is>
      </c>
      <c r="K6" t="inlineStr">
        <is>
          <t>N0/C1</t>
        </is>
      </c>
      <c r="L6" t="inlineStr">
        <is>
          <t>/composition/layers/1/clips/1/connect</t>
        </is>
      </c>
      <c r="M6" s="71" t="n">
        <v>1028</v>
      </c>
      <c r="N6" t="inlineStr">
        <is>
          <t>Button / value</t>
        </is>
      </c>
      <c r="O6" s="73" t="n"/>
      <c r="P6" s="73" t="n"/>
      <c r="R6" s="71" t="n">
        <v>128</v>
      </c>
      <c r="S6" s="71" t="n">
        <v>0</v>
      </c>
      <c r="T6" t="inlineStr">
        <is>
          <t>APC40 mkII</t>
        </is>
      </c>
      <c r="U6" t="inlineStr">
        <is>
          <t>/composition/layers/1/clips/1/connect</t>
        </is>
      </c>
      <c r="V6" t="inlineStr">
        <is>
          <t>/composition/layers/1/clips/1/connected</t>
        </is>
      </c>
      <c r="W6" t="inlineStr">
        <is>
          <t>/composition/layers/1/clips/1/connected</t>
        </is>
      </c>
      <c r="X6" t="inlineStr">
        <is>
          <t>Connected=0.35433070866141730404; Connected &amp; previewing=0.35433070866141730404; Disconnected=0; Empty=0; Off=0; Previewing=0</t>
        </is>
      </c>
    </row>
    <row r="7">
      <c r="A7" s="71" t="n">
        <v>3</v>
      </c>
      <c r="B7" s="72" t="inlineStr">
        <is>
          <t>1784313900042</t>
        </is>
      </c>
      <c r="C7" t="inlineStr">
        <is>
          <t>button_connect</t>
        </is>
      </c>
      <c r="D7" s="71" t="n">
        <v>42</v>
      </c>
      <c r="E7" t="inlineStr">
        <is>
          <t>SCENE2</t>
        </is>
      </c>
      <c r="F7" t="inlineStr">
        <is>
          <t>Scene Launch 2</t>
        </is>
      </c>
      <c r="G7" t="inlineStr">
        <is>
          <t>note</t>
        </is>
      </c>
      <c r="H7" s="72" t="n">
        <v>83</v>
      </c>
      <c r="I7" s="72" t="n">
        <v>1</v>
      </c>
      <c r="J7" s="72" t="inlineStr">
        <is>
          <t>72057594037949328</t>
        </is>
      </c>
      <c r="K7" t="inlineStr">
        <is>
          <t>N83/C1</t>
        </is>
      </c>
      <c r="L7" t="inlineStr">
        <is>
          <t>/composition/layers/42/clips/1/connect</t>
        </is>
      </c>
      <c r="M7" s="71" t="n">
        <v>1028</v>
      </c>
      <c r="N7" t="inlineStr">
        <is>
          <t>Button / value</t>
        </is>
      </c>
      <c r="O7" s="73" t="n"/>
      <c r="P7" s="73" t="n"/>
      <c r="R7" s="71" t="n">
        <v>128</v>
      </c>
      <c r="S7" s="71" t="n">
        <v>0</v>
      </c>
      <c r="T7" t="inlineStr">
        <is>
          <t>APC40 mkII</t>
        </is>
      </c>
      <c r="U7" t="inlineStr">
        <is>
          <t>/composition/layers/42/clips/1/connect</t>
        </is>
      </c>
      <c r="V7" t="inlineStr">
        <is>
          <t>/composition/layers/42/clips/1/connected</t>
        </is>
      </c>
      <c r="W7" t="inlineStr">
        <is>
          <t>/composition/layers/42/clips/1/connected</t>
        </is>
      </c>
      <c r="X7" t="inlineStr">
        <is>
          <t>Connected=0.16535433070866142891; Connected &amp; previewing=0.16535433070866142891; Disconnected=0; Empty=0; Off=0; Previewing=0</t>
        </is>
      </c>
    </row>
    <row r="8">
      <c r="A8" s="71" t="n">
        <v>4</v>
      </c>
      <c r="B8" s="72" t="inlineStr">
        <is>
          <t>1784313900041</t>
        </is>
      </c>
      <c r="C8" t="inlineStr">
        <is>
          <t>button_connect</t>
        </is>
      </c>
      <c r="D8" s="71" t="n">
        <v>41</v>
      </c>
      <c r="E8" t="inlineStr">
        <is>
          <t>SCENE1</t>
        </is>
      </c>
      <c r="F8" t="inlineStr">
        <is>
          <t>Scene Launch 1</t>
        </is>
      </c>
      <c r="G8" t="inlineStr">
        <is>
          <t>note</t>
        </is>
      </c>
      <c r="H8" s="72" t="n">
        <v>82</v>
      </c>
      <c r="I8" s="72" t="n">
        <v>1</v>
      </c>
      <c r="J8" s="72" t="inlineStr">
        <is>
          <t>72057594037949072</t>
        </is>
      </c>
      <c r="K8" t="inlineStr">
        <is>
          <t>N82/C1</t>
        </is>
      </c>
      <c r="L8" t="inlineStr">
        <is>
          <t>/composition/layers/41/clips/1/connect</t>
        </is>
      </c>
      <c r="M8" s="71" t="n">
        <v>1028</v>
      </c>
      <c r="N8" t="inlineStr">
        <is>
          <t>Button / value</t>
        </is>
      </c>
      <c r="O8" s="73" t="n"/>
      <c r="P8" s="73" t="n"/>
      <c r="R8" s="71" t="n">
        <v>128</v>
      </c>
      <c r="S8" s="71" t="n">
        <v>0</v>
      </c>
      <c r="T8" t="inlineStr">
        <is>
          <t>APC40 mkII</t>
        </is>
      </c>
      <c r="U8" t="inlineStr">
        <is>
          <t>/composition/layers/41/clips/1/connect</t>
        </is>
      </c>
      <c r="V8" t="inlineStr">
        <is>
          <t>/composition/layers/41/clips/1/connected</t>
        </is>
      </c>
      <c r="W8" t="inlineStr">
        <is>
          <t>/composition/layers/41/clips/1/connected</t>
        </is>
      </c>
      <c r="X8" t="inlineStr">
        <is>
          <t>Connected=0.16535433070866142891; Connected &amp; previewing=0.16535433070866142891; Disconnected=0; Empty=0; Off=0; Previewing=0</t>
        </is>
      </c>
    </row>
    <row r="9">
      <c r="A9" s="71" t="n">
        <v>5</v>
      </c>
      <c r="B9" s="72" t="inlineStr">
        <is>
          <t>1784313900007</t>
        </is>
      </c>
      <c r="C9" t="inlineStr">
        <is>
          <t>button_connect</t>
        </is>
      </c>
      <c r="D9" s="71" t="n">
        <v>7</v>
      </c>
      <c r="E9" t="inlineStr">
        <is>
          <t>G7-5</t>
        </is>
      </c>
      <c r="F9" t="inlineStr">
        <is>
          <t>Grid 5 Track 7</t>
        </is>
      </c>
      <c r="G9" t="inlineStr">
        <is>
          <t>note</t>
        </is>
      </c>
      <c r="H9" s="72" t="n">
        <v>6</v>
      </c>
      <c r="I9" s="72" t="n">
        <v>1</v>
      </c>
      <c r="J9" s="72" t="inlineStr">
        <is>
          <t>72057594037929616</t>
        </is>
      </c>
      <c r="K9" t="inlineStr">
        <is>
          <t>N6/C1</t>
        </is>
      </c>
      <c r="L9" t="inlineStr">
        <is>
          <t>/composition/layers/7/clips/1/connect</t>
        </is>
      </c>
      <c r="M9" s="71" t="n">
        <v>1028</v>
      </c>
      <c r="N9" t="inlineStr">
        <is>
          <t>Button / value</t>
        </is>
      </c>
      <c r="O9" s="73" t="n"/>
      <c r="P9" s="73" t="n"/>
      <c r="R9" s="71" t="n">
        <v>128</v>
      </c>
      <c r="S9" s="71" t="n">
        <v>0</v>
      </c>
      <c r="T9" t="inlineStr">
        <is>
          <t>APC40 mkII</t>
        </is>
      </c>
      <c r="U9" t="inlineStr">
        <is>
          <t>/composition/layers/7/clips/1/connect</t>
        </is>
      </c>
      <c r="V9" t="inlineStr">
        <is>
          <t>/composition/layers/7/clips/1/connected</t>
        </is>
      </c>
      <c r="W9" t="inlineStr">
        <is>
          <t>/composition/layers/7/clips/1/connected</t>
        </is>
      </c>
      <c r="X9" t="inlineStr">
        <is>
          <t>Connected=0.41732283464566927167; Connected &amp; previewing=0.41732283464566927167; Disconnected=0; Empty=0; Off=0; Previewing=0</t>
        </is>
      </c>
    </row>
    <row r="10">
      <c r="A10" s="71" t="n">
        <v>6</v>
      </c>
      <c r="B10" s="72" t="inlineStr">
        <is>
          <t>1784313900005</t>
        </is>
      </c>
      <c r="C10" t="inlineStr">
        <is>
          <t>button_connect</t>
        </is>
      </c>
      <c r="D10" s="71" t="n">
        <v>5</v>
      </c>
      <c r="E10" t="inlineStr">
        <is>
          <t>G5-5</t>
        </is>
      </c>
      <c r="F10" t="inlineStr">
        <is>
          <t>Grid 5 Track 5</t>
        </is>
      </c>
      <c r="G10" t="inlineStr">
        <is>
          <t>note</t>
        </is>
      </c>
      <c r="H10" s="72" t="n">
        <v>4</v>
      </c>
      <c r="I10" s="72" t="n">
        <v>1</v>
      </c>
      <c r="J10" s="72" t="inlineStr">
        <is>
          <t>72057594037929104</t>
        </is>
      </c>
      <c r="K10" t="inlineStr">
        <is>
          <t>N4/C1</t>
        </is>
      </c>
      <c r="L10" t="inlineStr">
        <is>
          <t>/composition/layers/5/clips/1/connect</t>
        </is>
      </c>
      <c r="M10" s="71" t="n">
        <v>1028</v>
      </c>
      <c r="N10" t="inlineStr">
        <is>
          <t>Button / value</t>
        </is>
      </c>
      <c r="O10" s="73" t="n"/>
      <c r="P10" s="73" t="n"/>
      <c r="R10" s="71" t="n">
        <v>128</v>
      </c>
      <c r="S10" s="71" t="n">
        <v>0</v>
      </c>
      <c r="T10" t="inlineStr">
        <is>
          <t>APC40 mkII</t>
        </is>
      </c>
      <c r="U10" t="inlineStr">
        <is>
          <t>/composition/layers/5/clips/1/connect</t>
        </is>
      </c>
      <c r="V10" t="inlineStr">
        <is>
          <t>/composition/layers/5/clips/1/connected</t>
        </is>
      </c>
      <c r="W10" t="inlineStr">
        <is>
          <t>/composition/layers/5/clips/1/connected</t>
        </is>
      </c>
      <c r="X10" t="inlineStr">
        <is>
          <t>Connected=0.070866141732283463583; Connected &amp; previewing=0.070866141732283463583; Disconnected=0; Empty=0; Off=0; Previewing=0</t>
        </is>
      </c>
    </row>
    <row r="11">
      <c r="A11" s="71" t="n">
        <v>7</v>
      </c>
      <c r="B11" s="72" t="inlineStr">
        <is>
          <t>1784313900046</t>
        </is>
      </c>
      <c r="C11" t="inlineStr">
        <is>
          <t>button_connect</t>
        </is>
      </c>
      <c r="D11" s="71" t="n">
        <v>46</v>
      </c>
      <c r="E11" t="inlineStr">
        <is>
          <t>STOP1</t>
        </is>
      </c>
      <c r="F11" t="inlineStr">
        <is>
          <t>Clip Stop 1</t>
        </is>
      </c>
      <c r="G11" t="inlineStr">
        <is>
          <t>note</t>
        </is>
      </c>
      <c r="H11" s="72" t="n">
        <v>52</v>
      </c>
      <c r="I11" s="72" t="n">
        <v>1</v>
      </c>
      <c r="J11" s="72" t="inlineStr">
        <is>
          <t>72057594037941392</t>
        </is>
      </c>
      <c r="K11" t="inlineStr">
        <is>
          <t>N52/C1</t>
        </is>
      </c>
      <c r="L11" t="inlineStr">
        <is>
          <t>/composition/layers/46/clips/1/connect</t>
        </is>
      </c>
      <c r="M11" s="71" t="n">
        <v>1028</v>
      </c>
      <c r="N11" t="inlineStr">
        <is>
          <t>Button / value</t>
        </is>
      </c>
      <c r="O11" s="73" t="n"/>
      <c r="P11" s="73" t="n"/>
      <c r="R11" s="71" t="n">
        <v>128</v>
      </c>
      <c r="S11" s="71" t="n">
        <v>0</v>
      </c>
      <c r="T11" t="inlineStr">
        <is>
          <t>APC40 mkII</t>
        </is>
      </c>
      <c r="U11" t="inlineStr">
        <is>
          <t>/composition/layers/46/clips/1/connect</t>
        </is>
      </c>
      <c r="V11" t="inlineStr">
        <is>
          <t>/composition/layers/46/clips/1/connected</t>
        </is>
      </c>
      <c r="W11" t="inlineStr">
        <is>
          <t>/composition/layers/46/clips/1/connected</t>
        </is>
      </c>
      <c r="X11" t="inlineStr">
        <is>
          <t>Connected=0.039370078740157479769; Connected &amp; previewing=0.039370078740157479769; Disconnected=0; Empty=0; Off=0; Previewing=0</t>
        </is>
      </c>
    </row>
    <row r="12">
      <c r="A12" s="71" t="n">
        <v>8</v>
      </c>
      <c r="B12" s="72" t="inlineStr">
        <is>
          <t>1784313900023</t>
        </is>
      </c>
      <c r="C12" t="inlineStr">
        <is>
          <t>button_connect</t>
        </is>
      </c>
      <c r="D12" s="71" t="n">
        <v>23</v>
      </c>
      <c r="E12" t="inlineStr">
        <is>
          <t>G7-3</t>
        </is>
      </c>
      <c r="F12" t="inlineStr">
        <is>
          <t>Grid 3 Track 7</t>
        </is>
      </c>
      <c r="G12" t="inlineStr">
        <is>
          <t>note</t>
        </is>
      </c>
      <c r="H12" s="72" t="n">
        <v>22</v>
      </c>
      <c r="I12" s="72" t="n">
        <v>1</v>
      </c>
      <c r="J12" s="72" t="inlineStr">
        <is>
          <t>72057594037933712</t>
        </is>
      </c>
      <c r="K12" t="inlineStr">
        <is>
          <t>N22/C1</t>
        </is>
      </c>
      <c r="L12" t="inlineStr">
        <is>
          <t>/composition/layers/23/clips/1/connect</t>
        </is>
      </c>
      <c r="M12" s="71" t="n">
        <v>1028</v>
      </c>
      <c r="N12" t="inlineStr">
        <is>
          <t>Button / value</t>
        </is>
      </c>
      <c r="O12" s="73" t="n"/>
      <c r="P12" s="73" t="n"/>
      <c r="R12" s="71" t="n">
        <v>128</v>
      </c>
      <c r="S12" s="71" t="n">
        <v>0</v>
      </c>
      <c r="T12" t="inlineStr">
        <is>
          <t>APC40 mkII</t>
        </is>
      </c>
      <c r="U12" t="inlineStr">
        <is>
          <t>/composition/layers/23/clips/1/connect</t>
        </is>
      </c>
      <c r="V12" t="inlineStr">
        <is>
          <t>/composition/layers/23/clips/1/connected</t>
        </is>
      </c>
      <c r="W12" t="inlineStr">
        <is>
          <t>/composition/layers/23/clips/1/connected</t>
        </is>
      </c>
      <c r="X12" t="inlineStr">
        <is>
          <t>Connected=0.41732283464566927167; Connected &amp; previewing=0.41732283464566927167; Disconnected=0; Empty=0; Off=0; Previewing=0</t>
        </is>
      </c>
    </row>
    <row r="13">
      <c r="A13" s="71" t="n">
        <v>9</v>
      </c>
      <c r="B13" s="72" t="inlineStr">
        <is>
          <t>1784313900050</t>
        </is>
      </c>
      <c r="C13" t="inlineStr">
        <is>
          <t>button_connect</t>
        </is>
      </c>
      <c r="D13" s="71" t="n">
        <v>50</v>
      </c>
      <c r="E13" t="inlineStr">
        <is>
          <t>STOP5</t>
        </is>
      </c>
      <c r="F13" t="inlineStr">
        <is>
          <t>Clip Stop 5</t>
        </is>
      </c>
      <c r="G13" t="inlineStr">
        <is>
          <t>note</t>
        </is>
      </c>
      <c r="H13" s="72" t="n">
        <v>52</v>
      </c>
      <c r="I13" s="72" t="n">
        <v>5</v>
      </c>
      <c r="J13" s="72" t="inlineStr">
        <is>
          <t>72057594037941396</t>
        </is>
      </c>
      <c r="K13" t="inlineStr">
        <is>
          <t>N52/C5</t>
        </is>
      </c>
      <c r="L13" t="inlineStr">
        <is>
          <t>/composition/layers/50/clips/1/connect</t>
        </is>
      </c>
      <c r="M13" s="71" t="n">
        <v>1028</v>
      </c>
      <c r="N13" t="inlineStr">
        <is>
          <t>Button / value</t>
        </is>
      </c>
      <c r="O13" s="73" t="n"/>
      <c r="P13" s="73" t="n"/>
      <c r="R13" s="71" t="n">
        <v>128</v>
      </c>
      <c r="S13" s="71" t="n">
        <v>0</v>
      </c>
      <c r="T13" t="inlineStr">
        <is>
          <t>APC40 mkII</t>
        </is>
      </c>
      <c r="U13" t="inlineStr">
        <is>
          <t>/composition/layers/50/clips/1/connect</t>
        </is>
      </c>
      <c r="V13" t="inlineStr">
        <is>
          <t>/composition/layers/50/clips/1/connected</t>
        </is>
      </c>
      <c r="W13" t="inlineStr">
        <is>
          <t>/composition/layers/50/clips/1/connected</t>
        </is>
      </c>
      <c r="X13" t="inlineStr">
        <is>
          <t>Connected=0.039370078740157479769; Connected &amp; previewing=0.039370078740157479769; Disconnected=0; Empty=0; Off=0; Previewing=0</t>
        </is>
      </c>
    </row>
    <row r="14">
      <c r="A14" s="71" t="n">
        <v>10</v>
      </c>
      <c r="B14" s="72" t="inlineStr">
        <is>
          <t>1784313900024</t>
        </is>
      </c>
      <c r="C14" t="inlineStr">
        <is>
          <t>button_connect</t>
        </is>
      </c>
      <c r="D14" s="71" t="n">
        <v>24</v>
      </c>
      <c r="E14" t="inlineStr">
        <is>
          <t>G8-3</t>
        </is>
      </c>
      <c r="F14" t="inlineStr">
        <is>
          <t>Grid 3 Track 8</t>
        </is>
      </c>
      <c r="G14" t="inlineStr">
        <is>
          <t>note</t>
        </is>
      </c>
      <c r="H14" s="72" t="n">
        <v>23</v>
      </c>
      <c r="I14" s="72" t="n">
        <v>1</v>
      </c>
      <c r="J14" s="72" t="inlineStr">
        <is>
          <t>72057594037933968</t>
        </is>
      </c>
      <c r="K14" t="inlineStr">
        <is>
          <t>N23/C1</t>
        </is>
      </c>
      <c r="L14" t="inlineStr">
        <is>
          <t>/composition/layers/24/clips/1/connect</t>
        </is>
      </c>
      <c r="M14" s="71" t="n">
        <v>1028</v>
      </c>
      <c r="N14" t="inlineStr">
        <is>
          <t>Button / value</t>
        </is>
      </c>
      <c r="O14" s="73" t="n"/>
      <c r="P14" s="73" t="n"/>
      <c r="R14" s="71" t="n">
        <v>128</v>
      </c>
      <c r="S14" s="71" t="n">
        <v>0</v>
      </c>
      <c r="T14" t="inlineStr">
        <is>
          <t>APC40 mkII</t>
        </is>
      </c>
      <c r="U14" t="inlineStr">
        <is>
          <t>/composition/layers/24/clips/1/connect</t>
        </is>
      </c>
      <c r="V14" t="inlineStr">
        <is>
          <t>/composition/layers/24/clips/1/connected</t>
        </is>
      </c>
      <c r="W14" t="inlineStr">
        <is>
          <t>/composition/layers/24/clips/1/connected</t>
        </is>
      </c>
      <c r="X14" t="inlineStr">
        <is>
          <t>Connected=0.023622047244094487861; Connected &amp; previewing=0.023622047244094487861; Disconnected=0; Empty=0; Off=0; Previewing=0</t>
        </is>
      </c>
    </row>
    <row r="15">
      <c r="A15" s="71" t="n">
        <v>11</v>
      </c>
      <c r="B15" s="72" t="inlineStr">
        <is>
          <t>1784313900044</t>
        </is>
      </c>
      <c r="C15" t="inlineStr">
        <is>
          <t>button_connect</t>
        </is>
      </c>
      <c r="D15" s="71" t="n">
        <v>44</v>
      </c>
      <c r="E15" t="inlineStr">
        <is>
          <t>SCENE4</t>
        </is>
      </c>
      <c r="F15" t="inlineStr">
        <is>
          <t>Scene Launch 4</t>
        </is>
      </c>
      <c r="G15" t="inlineStr">
        <is>
          <t>note</t>
        </is>
      </c>
      <c r="H15" s="72" t="n">
        <v>85</v>
      </c>
      <c r="I15" s="72" t="n">
        <v>1</v>
      </c>
      <c r="J15" s="72" t="inlineStr">
        <is>
          <t>72057594037949840</t>
        </is>
      </c>
      <c r="K15" t="inlineStr">
        <is>
          <t>N85/C1</t>
        </is>
      </c>
      <c r="L15" t="inlineStr">
        <is>
          <t>/composition/layers/44/clips/1/connect</t>
        </is>
      </c>
      <c r="M15" s="71" t="n">
        <v>1028</v>
      </c>
      <c r="N15" t="inlineStr">
        <is>
          <t>Button / value</t>
        </is>
      </c>
      <c r="O15" s="73" t="n"/>
      <c r="P15" s="73" t="n"/>
      <c r="R15" s="71" t="n">
        <v>128</v>
      </c>
      <c r="S15" s="71" t="n">
        <v>0</v>
      </c>
      <c r="T15" t="inlineStr">
        <is>
          <t>APC40 mkII</t>
        </is>
      </c>
      <c r="U15" t="inlineStr">
        <is>
          <t>/composition/layers/44/clips/1/connect</t>
        </is>
      </c>
      <c r="V15" t="inlineStr">
        <is>
          <t>/composition/layers/44/clips/1/connected</t>
        </is>
      </c>
      <c r="W15" t="inlineStr">
        <is>
          <t>/composition/layers/44/clips/1/connected</t>
        </is>
      </c>
      <c r="X15" t="inlineStr">
        <is>
          <t>Connected=0.16535433070866142891; Connected &amp; previewing=0.16535433070866142891; Disconnected=0; Empty=0; Off=0; Previewing=0</t>
        </is>
      </c>
    </row>
    <row r="16">
      <c r="A16" s="71" t="n">
        <v>12</v>
      </c>
      <c r="B16" s="72" t="inlineStr">
        <is>
          <t>1784313900013</t>
        </is>
      </c>
      <c r="C16" t="inlineStr">
        <is>
          <t>button_connect</t>
        </is>
      </c>
      <c r="D16" s="71" t="n">
        <v>13</v>
      </c>
      <c r="E16" t="inlineStr">
        <is>
          <t>G5-4</t>
        </is>
      </c>
      <c r="F16" t="inlineStr">
        <is>
          <t>Grid 4 Track 5</t>
        </is>
      </c>
      <c r="G16" t="inlineStr">
        <is>
          <t>note</t>
        </is>
      </c>
      <c r="H16" s="72" t="n">
        <v>12</v>
      </c>
      <c r="I16" s="72" t="n">
        <v>1</v>
      </c>
      <c r="J16" s="72" t="inlineStr">
        <is>
          <t>72057594037931152</t>
        </is>
      </c>
      <c r="K16" t="inlineStr">
        <is>
          <t>N12/C1</t>
        </is>
      </c>
      <c r="L16" t="inlineStr">
        <is>
          <t>/composition/layers/13/clips/1/connect</t>
        </is>
      </c>
      <c r="M16" s="71" t="n">
        <v>1028</v>
      </c>
      <c r="N16" t="inlineStr">
        <is>
          <t>Button / value</t>
        </is>
      </c>
      <c r="O16" s="73" t="n"/>
      <c r="P16" s="73" t="n"/>
      <c r="R16" s="71" t="n">
        <v>128</v>
      </c>
      <c r="S16" s="71" t="n">
        <v>0</v>
      </c>
      <c r="T16" t="inlineStr">
        <is>
          <t>APC40 mkII</t>
        </is>
      </c>
      <c r="U16" t="inlineStr">
        <is>
          <t>/composition/layers/13/clips/1/connect</t>
        </is>
      </c>
      <c r="V16" t="inlineStr">
        <is>
          <t>/composition/layers/13/clips/1/connected</t>
        </is>
      </c>
      <c r="W16" t="inlineStr">
        <is>
          <t>/composition/layers/13/clips/1/connected</t>
        </is>
      </c>
      <c r="X16" t="inlineStr">
        <is>
          <t>Connected=0.070866141732283463583; Connected &amp; previewing=0.070866141732283463583; Disconnected=0; Empty=0; Off=0; Previewing=0</t>
        </is>
      </c>
    </row>
    <row r="17">
      <c r="A17" s="71" t="n">
        <v>13</v>
      </c>
      <c r="B17" s="72" t="inlineStr">
        <is>
          <t>1784313900045</t>
        </is>
      </c>
      <c r="C17" t="inlineStr">
        <is>
          <t>button_connect</t>
        </is>
      </c>
      <c r="D17" s="71" t="n">
        <v>45</v>
      </c>
      <c r="E17" t="inlineStr">
        <is>
          <t>SCENE5</t>
        </is>
      </c>
      <c r="F17" t="inlineStr">
        <is>
          <t>Scene Launch 5</t>
        </is>
      </c>
      <c r="G17" t="inlineStr">
        <is>
          <t>note</t>
        </is>
      </c>
      <c r="H17" s="72" t="n">
        <v>86</v>
      </c>
      <c r="I17" s="72" t="n">
        <v>1</v>
      </c>
      <c r="J17" s="72" t="inlineStr">
        <is>
          <t>72057594037950096</t>
        </is>
      </c>
      <c r="K17" t="inlineStr">
        <is>
          <t>N86/C1</t>
        </is>
      </c>
      <c r="L17" t="inlineStr">
        <is>
          <t>/composition/layers/45/clips/1/connect</t>
        </is>
      </c>
      <c r="M17" s="71" t="n">
        <v>1028</v>
      </c>
      <c r="N17" t="inlineStr">
        <is>
          <t>Button / value</t>
        </is>
      </c>
      <c r="O17" s="73" t="n"/>
      <c r="P17" s="73" t="n"/>
      <c r="R17" s="71" t="n">
        <v>128</v>
      </c>
      <c r="S17" s="71" t="n">
        <v>0</v>
      </c>
      <c r="T17" t="inlineStr">
        <is>
          <t>APC40 mkII</t>
        </is>
      </c>
      <c r="U17" t="inlineStr">
        <is>
          <t>/composition/layers/45/clips/1/connect</t>
        </is>
      </c>
      <c r="V17" t="inlineStr">
        <is>
          <t>/composition/layers/45/clips/1/connected</t>
        </is>
      </c>
      <c r="W17" t="inlineStr">
        <is>
          <t>/composition/layers/45/clips/1/connected</t>
        </is>
      </c>
      <c r="X17" t="inlineStr">
        <is>
          <t>Connected=0.16535433070866142891; Connected &amp; previewing=0.16535433070866142891; Disconnected=0; Empty=0; Off=0; Previewing=0</t>
        </is>
      </c>
    </row>
    <row r="18">
      <c r="A18" s="71" t="n">
        <v>14</v>
      </c>
      <c r="B18" s="72" t="inlineStr">
        <is>
          <t>1784313900061</t>
        </is>
      </c>
      <c r="C18" t="inlineStr">
        <is>
          <t>button_connect</t>
        </is>
      </c>
      <c r="D18" s="71" t="n">
        <v>61</v>
      </c>
      <c r="E18" t="inlineStr">
        <is>
          <t>SEL8</t>
        </is>
      </c>
      <c r="F18" t="inlineStr">
        <is>
          <t>Track Select 8</t>
        </is>
      </c>
      <c r="G18" t="inlineStr">
        <is>
          <t>note</t>
        </is>
      </c>
      <c r="H18" s="72" t="n">
        <v>51</v>
      </c>
      <c r="I18" s="72" t="n">
        <v>8</v>
      </c>
      <c r="J18" s="72" t="inlineStr">
        <is>
          <t>72057594037941143</t>
        </is>
      </c>
      <c r="K18" t="inlineStr">
        <is>
          <t>N51/C8</t>
        </is>
      </c>
      <c r="L18" t="inlineStr">
        <is>
          <t>/composition/layers/61/clips/1/connect</t>
        </is>
      </c>
      <c r="M18" s="71" t="n">
        <v>1028</v>
      </c>
      <c r="N18" t="inlineStr">
        <is>
          <t>Button / value</t>
        </is>
      </c>
      <c r="O18" s="73" t="n"/>
      <c r="P18" s="73" t="n"/>
      <c r="R18" s="71" t="n">
        <v>128</v>
      </c>
      <c r="S18" s="71" t="n">
        <v>0</v>
      </c>
      <c r="T18" t="inlineStr">
        <is>
          <t>APC40 mkII</t>
        </is>
      </c>
      <c r="U18" t="inlineStr">
        <is>
          <t>/composition/layers/61/clips/1/connect</t>
        </is>
      </c>
      <c r="V18" t="inlineStr">
        <is>
          <t>/composition/layers/61/clips/1/connected</t>
        </is>
      </c>
      <c r="W18" t="inlineStr">
        <is>
          <t>/composition/layers/61/clips/1/connected</t>
        </is>
      </c>
      <c r="X18" t="inlineStr">
        <is>
          <t>Connected=0.35433070866141730404; Connected &amp; previewing=0.35433070866141730404; Disconnected=0; Empty=0; Off=0; Previewing=0</t>
        </is>
      </c>
    </row>
    <row r="19">
      <c r="A19" s="71" t="n">
        <v>15</v>
      </c>
      <c r="B19" s="72" t="inlineStr">
        <is>
          <t>1784313900040</t>
        </is>
      </c>
      <c r="C19" t="inlineStr">
        <is>
          <t>button_connect</t>
        </is>
      </c>
      <c r="D19" s="71" t="n">
        <v>40</v>
      </c>
      <c r="E19" t="inlineStr">
        <is>
          <t>G8-1</t>
        </is>
      </c>
      <c r="F19" t="inlineStr">
        <is>
          <t>Grid 1 Track 8</t>
        </is>
      </c>
      <c r="G19" t="inlineStr">
        <is>
          <t>note</t>
        </is>
      </c>
      <c r="H19" s="72" t="n">
        <v>39</v>
      </c>
      <c r="I19" s="72" t="n">
        <v>1</v>
      </c>
      <c r="J19" s="72" t="inlineStr">
        <is>
          <t>72057594037938064</t>
        </is>
      </c>
      <c r="K19" t="inlineStr">
        <is>
          <t>N39/C1</t>
        </is>
      </c>
      <c r="L19" t="inlineStr">
        <is>
          <t>/composition/layers/40/clips/1/connect</t>
        </is>
      </c>
      <c r="M19" s="71" t="n">
        <v>1028</v>
      </c>
      <c r="N19" t="inlineStr">
        <is>
          <t>Button / value</t>
        </is>
      </c>
      <c r="O19" s="73" t="n"/>
      <c r="P19" s="73" t="n"/>
      <c r="R19" s="71" t="n">
        <v>128</v>
      </c>
      <c r="S19" s="71" t="n">
        <v>0</v>
      </c>
      <c r="T19" t="inlineStr">
        <is>
          <t>APC40 mkII</t>
        </is>
      </c>
      <c r="U19" t="inlineStr">
        <is>
          <t>/composition/layers/40/clips/1/connect</t>
        </is>
      </c>
      <c r="V19" t="inlineStr">
        <is>
          <t>/composition/layers/40/clips/1/connected</t>
        </is>
      </c>
      <c r="W19" t="inlineStr">
        <is>
          <t>/composition/layers/40/clips/1/connected</t>
        </is>
      </c>
      <c r="X19" t="inlineStr">
        <is>
          <t>Connected=0.023622047244094487861; Connected &amp; previewing=0.023622047244094487861; Disconnected=0; Empty=0; Off=0; Previewing=0</t>
        </is>
      </c>
    </row>
    <row r="20">
      <c r="A20" s="71" t="n">
        <v>16</v>
      </c>
      <c r="B20" s="72" t="inlineStr">
        <is>
          <t>1784313900012</t>
        </is>
      </c>
      <c r="C20" t="inlineStr">
        <is>
          <t>button_connect</t>
        </is>
      </c>
      <c r="D20" s="71" t="n">
        <v>12</v>
      </c>
      <c r="E20" t="inlineStr">
        <is>
          <t>G4-4</t>
        </is>
      </c>
      <c r="F20" t="inlineStr">
        <is>
          <t>Grid 4 Track 4</t>
        </is>
      </c>
      <c r="G20" t="inlineStr">
        <is>
          <t>note</t>
        </is>
      </c>
      <c r="H20" s="72" t="n">
        <v>11</v>
      </c>
      <c r="I20" s="72" t="n">
        <v>1</v>
      </c>
      <c r="J20" s="72" t="inlineStr">
        <is>
          <t>72057594037930896</t>
        </is>
      </c>
      <c r="K20" t="inlineStr">
        <is>
          <t>N11/C1</t>
        </is>
      </c>
      <c r="L20" t="inlineStr">
        <is>
          <t>/composition/layers/12/clips/1/connect</t>
        </is>
      </c>
      <c r="M20" s="71" t="n">
        <v>1028</v>
      </c>
      <c r="N20" t="inlineStr">
        <is>
          <t>Button / value</t>
        </is>
      </c>
      <c r="O20" s="73" t="n"/>
      <c r="P20" s="73" t="n"/>
      <c r="R20" s="71" t="n">
        <v>128</v>
      </c>
      <c r="S20" s="71" t="n">
        <v>0</v>
      </c>
      <c r="T20" t="inlineStr">
        <is>
          <t>APC40 mkII</t>
        </is>
      </c>
      <c r="U20" t="inlineStr">
        <is>
          <t>/composition/layers/12/clips/1/connect</t>
        </is>
      </c>
      <c r="V20" t="inlineStr">
        <is>
          <t>/composition/layers/12/clips/1/connected</t>
        </is>
      </c>
      <c r="W20" t="inlineStr">
        <is>
          <t>/composition/layers/12/clips/1/connected</t>
        </is>
      </c>
      <c r="X20" t="inlineStr">
        <is>
          <t>Connected=0.039370078740157479769; Connected &amp; previewing=0.039370078740157479769; Disconnected=0; Empty=0; Off=0; Previewing=0</t>
        </is>
      </c>
    </row>
    <row r="21">
      <c r="A21" s="71" t="n">
        <v>17</v>
      </c>
      <c r="B21" s="72" t="inlineStr">
        <is>
          <t>1784313900047</t>
        </is>
      </c>
      <c r="C21" t="inlineStr">
        <is>
          <t>button_connect</t>
        </is>
      </c>
      <c r="D21" s="71" t="n">
        <v>47</v>
      </c>
      <c r="E21" t="inlineStr">
        <is>
          <t>STOP2</t>
        </is>
      </c>
      <c r="F21" t="inlineStr">
        <is>
          <t>Clip Stop 2</t>
        </is>
      </c>
      <c r="G21" t="inlineStr">
        <is>
          <t>note</t>
        </is>
      </c>
      <c r="H21" s="72" t="n">
        <v>52</v>
      </c>
      <c r="I21" s="72" t="n">
        <v>2</v>
      </c>
      <c r="J21" s="72" t="inlineStr">
        <is>
          <t>72057594037941393</t>
        </is>
      </c>
      <c r="K21" t="inlineStr">
        <is>
          <t>N52/C2</t>
        </is>
      </c>
      <c r="L21" t="inlineStr">
        <is>
          <t>/composition/layers/47/clips/1/connect</t>
        </is>
      </c>
      <c r="M21" s="71" t="n">
        <v>1028</v>
      </c>
      <c r="N21" t="inlineStr">
        <is>
          <t>Button / value</t>
        </is>
      </c>
      <c r="O21" s="73" t="n"/>
      <c r="P21" s="73" t="n"/>
      <c r="R21" s="71" t="n">
        <v>128</v>
      </c>
      <c r="S21" s="71" t="n">
        <v>0</v>
      </c>
      <c r="T21" t="inlineStr">
        <is>
          <t>APC40 mkII</t>
        </is>
      </c>
      <c r="U21" t="inlineStr">
        <is>
          <t>/composition/layers/47/clips/1/connect</t>
        </is>
      </c>
      <c r="V21" t="inlineStr">
        <is>
          <t>/composition/layers/47/clips/1/connected</t>
        </is>
      </c>
      <c r="W21" t="inlineStr">
        <is>
          <t>/composition/layers/47/clips/1/connected</t>
        </is>
      </c>
      <c r="X21" t="inlineStr">
        <is>
          <t>Connected=0.039370078740157479769; Connected &amp; previewing=0.039370078740157479769; Disconnected=0; Empty=0; Off=0; Previewing=0</t>
        </is>
      </c>
    </row>
    <row r="22">
      <c r="A22" s="71" t="n">
        <v>18</v>
      </c>
      <c r="B22" s="72" t="inlineStr">
        <is>
          <t>1784313900051</t>
        </is>
      </c>
      <c r="C22" t="inlineStr">
        <is>
          <t>button_connect</t>
        </is>
      </c>
      <c r="D22" s="71" t="n">
        <v>51</v>
      </c>
      <c r="E22" t="inlineStr">
        <is>
          <t>STOP6</t>
        </is>
      </c>
      <c r="F22" t="inlineStr">
        <is>
          <t>Clip Stop 6</t>
        </is>
      </c>
      <c r="G22" t="inlineStr">
        <is>
          <t>note</t>
        </is>
      </c>
      <c r="H22" s="72" t="n">
        <v>52</v>
      </c>
      <c r="I22" s="72" t="n">
        <v>6</v>
      </c>
      <c r="J22" s="72" t="inlineStr">
        <is>
          <t>72057594037941397</t>
        </is>
      </c>
      <c r="K22" t="inlineStr">
        <is>
          <t>N52/C6</t>
        </is>
      </c>
      <c r="L22" t="inlineStr">
        <is>
          <t>/composition/layers/51/clips/1/connect</t>
        </is>
      </c>
      <c r="M22" s="71" t="n">
        <v>1028</v>
      </c>
      <c r="N22" t="inlineStr">
        <is>
          <t>Button / value</t>
        </is>
      </c>
      <c r="O22" s="73" t="n"/>
      <c r="P22" s="73" t="n"/>
      <c r="R22" s="71" t="n">
        <v>128</v>
      </c>
      <c r="S22" s="71" t="n">
        <v>0</v>
      </c>
      <c r="T22" t="inlineStr">
        <is>
          <t>APC40 mkII</t>
        </is>
      </c>
      <c r="U22" t="inlineStr">
        <is>
          <t>/composition/layers/51/clips/1/connect</t>
        </is>
      </c>
      <c r="V22" t="inlineStr">
        <is>
          <t>/composition/layers/51/clips/1/connected</t>
        </is>
      </c>
      <c r="W22" t="inlineStr">
        <is>
          <t>/composition/layers/51/clips/1/connected</t>
        </is>
      </c>
      <c r="X22" t="inlineStr">
        <is>
          <t>Connected=0.039370078740157479769; Connected &amp; previewing=0.039370078740157479769; Disconnected=0; Empty=0; Off=0; Previewing=0</t>
        </is>
      </c>
    </row>
    <row r="23">
      <c r="A23" s="71" t="n">
        <v>19</v>
      </c>
      <c r="B23" s="72" t="inlineStr">
        <is>
          <t>1784313900055</t>
        </is>
      </c>
      <c r="C23" t="inlineStr">
        <is>
          <t>button_connect</t>
        </is>
      </c>
      <c r="D23" s="71" t="n">
        <v>55</v>
      </c>
      <c r="E23" t="inlineStr">
        <is>
          <t>SEL2</t>
        </is>
      </c>
      <c r="F23" t="inlineStr">
        <is>
          <t>Track Select 2</t>
        </is>
      </c>
      <c r="G23" t="inlineStr">
        <is>
          <t>note</t>
        </is>
      </c>
      <c r="H23" s="72" t="n">
        <v>51</v>
      </c>
      <c r="I23" s="72" t="n">
        <v>2</v>
      </c>
      <c r="J23" s="72" t="inlineStr">
        <is>
          <t>72057594037941137</t>
        </is>
      </c>
      <c r="K23" t="inlineStr">
        <is>
          <t>N51/C2</t>
        </is>
      </c>
      <c r="L23" t="inlineStr">
        <is>
          <t>/composition/layers/55/clips/1/connect</t>
        </is>
      </c>
      <c r="M23" s="71" t="n">
        <v>1028</v>
      </c>
      <c r="N23" t="inlineStr">
        <is>
          <t>Button / value</t>
        </is>
      </c>
      <c r="O23" s="73" t="n"/>
      <c r="P23" s="73" t="n"/>
      <c r="R23" s="71" t="n">
        <v>128</v>
      </c>
      <c r="S23" s="71" t="n">
        <v>0</v>
      </c>
      <c r="T23" t="inlineStr">
        <is>
          <t>APC40 mkII</t>
        </is>
      </c>
      <c r="U23" t="inlineStr">
        <is>
          <t>/composition/layers/55/clips/1/connect</t>
        </is>
      </c>
      <c r="V23" t="inlineStr">
        <is>
          <t>/composition/layers/55/clips/1/connected</t>
        </is>
      </c>
      <c r="W23" t="inlineStr">
        <is>
          <t>/composition/layers/55/clips/1/connected</t>
        </is>
      </c>
      <c r="X23" t="inlineStr">
        <is>
          <t>Connected=0.35433070866141730404; Connected &amp; previewing=0.35433070866141730404; Disconnected=0; Empty=0; Off=0; Previewing=0</t>
        </is>
      </c>
    </row>
    <row r="24">
      <c r="A24" s="71" t="n">
        <v>20</v>
      </c>
      <c r="B24" s="72" t="inlineStr">
        <is>
          <t>1784313900027</t>
        </is>
      </c>
      <c r="C24" t="inlineStr">
        <is>
          <t>button_connect</t>
        </is>
      </c>
      <c r="D24" s="71" t="n">
        <v>27</v>
      </c>
      <c r="E24" t="inlineStr">
        <is>
          <t>G3-2</t>
        </is>
      </c>
      <c r="F24" t="inlineStr">
        <is>
          <t>Grid 2 Track 3</t>
        </is>
      </c>
      <c r="G24" t="inlineStr">
        <is>
          <t>note</t>
        </is>
      </c>
      <c r="H24" s="72" t="n">
        <v>26</v>
      </c>
      <c r="I24" s="72" t="n">
        <v>1</v>
      </c>
      <c r="J24" s="72" t="inlineStr">
        <is>
          <t>72057594037934736</t>
        </is>
      </c>
      <c r="K24" t="inlineStr">
        <is>
          <t>N26/C1</t>
        </is>
      </c>
      <c r="L24" t="inlineStr">
        <is>
          <t>/composition/layers/27/clips/1/connect</t>
        </is>
      </c>
      <c r="M24" s="71" t="n">
        <v>1028</v>
      </c>
      <c r="N24" t="inlineStr">
        <is>
          <t>Button / value</t>
        </is>
      </c>
      <c r="O24" s="73" t="n"/>
      <c r="P24" s="73" t="n"/>
      <c r="R24" s="71" t="n">
        <v>128</v>
      </c>
      <c r="S24" s="71" t="n">
        <v>0</v>
      </c>
      <c r="T24" t="inlineStr">
        <is>
          <t>APC40 mkII</t>
        </is>
      </c>
      <c r="U24" t="inlineStr">
        <is>
          <t>/composition/layers/27/clips/1/connect</t>
        </is>
      </c>
      <c r="V24" t="inlineStr">
        <is>
          <t>/composition/layers/27/clips/1/connected</t>
        </is>
      </c>
      <c r="W24" t="inlineStr">
        <is>
          <t>/composition/layers/27/clips/1/connected</t>
        </is>
      </c>
      <c r="X24" t="inlineStr">
        <is>
          <t>Connected=0.16535433070866142891; Connected &amp; previewing=0.16535433070866142891; Disconnected=0; Empty=0; Off=0; Previewing=0</t>
        </is>
      </c>
    </row>
    <row r="25">
      <c r="A25" s="71" t="n">
        <v>21</v>
      </c>
      <c r="B25" s="72" t="inlineStr">
        <is>
          <t>1784313900057</t>
        </is>
      </c>
      <c r="C25" t="inlineStr">
        <is>
          <t>button_connect</t>
        </is>
      </c>
      <c r="D25" s="71" t="n">
        <v>57</v>
      </c>
      <c r="E25" t="inlineStr">
        <is>
          <t>SEL4</t>
        </is>
      </c>
      <c r="F25" t="inlineStr">
        <is>
          <t>Track Select 4</t>
        </is>
      </c>
      <c r="G25" t="inlineStr">
        <is>
          <t>note</t>
        </is>
      </c>
      <c r="H25" s="72" t="n">
        <v>51</v>
      </c>
      <c r="I25" s="72" t="n">
        <v>4</v>
      </c>
      <c r="J25" s="72" t="inlineStr">
        <is>
          <t>72057594037941139</t>
        </is>
      </c>
      <c r="K25" t="inlineStr">
        <is>
          <t>N51/C4</t>
        </is>
      </c>
      <c r="L25" t="inlineStr">
        <is>
          <t>/composition/layers/57/clips/1/connect</t>
        </is>
      </c>
      <c r="M25" s="71" t="n">
        <v>1028</v>
      </c>
      <c r="N25" t="inlineStr">
        <is>
          <t>Button / value</t>
        </is>
      </c>
      <c r="O25" s="73" t="n"/>
      <c r="P25" s="73" t="n"/>
      <c r="R25" s="71" t="n">
        <v>128</v>
      </c>
      <c r="S25" s="71" t="n">
        <v>0</v>
      </c>
      <c r="T25" t="inlineStr">
        <is>
          <t>APC40 mkII</t>
        </is>
      </c>
      <c r="U25" t="inlineStr">
        <is>
          <t>/composition/layers/57/clips/1/connect</t>
        </is>
      </c>
      <c r="V25" t="inlineStr">
        <is>
          <t>/composition/layers/57/clips/1/connected</t>
        </is>
      </c>
      <c r="W25" t="inlineStr">
        <is>
          <t>/composition/layers/57/clips/1/connected</t>
        </is>
      </c>
      <c r="X25" t="inlineStr">
        <is>
          <t>Connected=0.35433070866141730404; Connected &amp; previewing=0.35433070866141730404; Disconnected=0; Empty=0; Off=0; Previewing=0</t>
        </is>
      </c>
    </row>
    <row r="26">
      <c r="A26" s="71" t="n">
        <v>22</v>
      </c>
      <c r="B26" s="72" t="inlineStr">
        <is>
          <t>1784313900039</t>
        </is>
      </c>
      <c r="C26" t="inlineStr">
        <is>
          <t>button_connect</t>
        </is>
      </c>
      <c r="D26" s="71" t="n">
        <v>39</v>
      </c>
      <c r="E26" t="inlineStr">
        <is>
          <t>G7-1</t>
        </is>
      </c>
      <c r="F26" t="inlineStr">
        <is>
          <t>Grid 1 Track 7</t>
        </is>
      </c>
      <c r="G26" t="inlineStr">
        <is>
          <t>note</t>
        </is>
      </c>
      <c r="H26" s="72" t="n">
        <v>38</v>
      </c>
      <c r="I26" s="72" t="n">
        <v>1</v>
      </c>
      <c r="J26" s="72" t="inlineStr">
        <is>
          <t>72057594037937808</t>
        </is>
      </c>
      <c r="K26" t="inlineStr">
        <is>
          <t>N38/C1</t>
        </is>
      </c>
      <c r="L26" t="inlineStr">
        <is>
          <t>/composition/layers/39/clips/1/connect</t>
        </is>
      </c>
      <c r="M26" s="71" t="n">
        <v>1028</v>
      </c>
      <c r="N26" t="inlineStr">
        <is>
          <t>Button / value</t>
        </is>
      </c>
      <c r="O26" s="73" t="n"/>
      <c r="P26" s="73" t="n"/>
      <c r="R26" s="71" t="n">
        <v>128</v>
      </c>
      <c r="S26" s="71" t="n">
        <v>0</v>
      </c>
      <c r="T26" t="inlineStr">
        <is>
          <t>APC40 mkII</t>
        </is>
      </c>
      <c r="U26" t="inlineStr">
        <is>
          <t>/composition/layers/39/clips/1/connect</t>
        </is>
      </c>
      <c r="V26" t="inlineStr">
        <is>
          <t>/composition/layers/39/clips/1/connected</t>
        </is>
      </c>
      <c r="W26" t="inlineStr">
        <is>
          <t>/composition/layers/39/clips/1/connected</t>
        </is>
      </c>
      <c r="X26" t="inlineStr">
        <is>
          <t>Connected=0.41732283464566927167; Connected &amp; previewing=0.41732283464566927167; Disconnected=0; Empty=0; Off=0; Previewing=0</t>
        </is>
      </c>
    </row>
    <row r="27">
      <c r="A27" s="71" t="n">
        <v>23</v>
      </c>
      <c r="B27" s="72" t="inlineStr">
        <is>
          <t>1784313900049</t>
        </is>
      </c>
      <c r="C27" t="inlineStr">
        <is>
          <t>button_connect</t>
        </is>
      </c>
      <c r="D27" s="71" t="n">
        <v>49</v>
      </c>
      <c r="E27" t="inlineStr">
        <is>
          <t>STOP4</t>
        </is>
      </c>
      <c r="F27" t="inlineStr">
        <is>
          <t>Clip Stop 4</t>
        </is>
      </c>
      <c r="G27" t="inlineStr">
        <is>
          <t>note</t>
        </is>
      </c>
      <c r="H27" s="72" t="n">
        <v>52</v>
      </c>
      <c r="I27" s="72" t="n">
        <v>4</v>
      </c>
      <c r="J27" s="72" t="inlineStr">
        <is>
          <t>72057594037941395</t>
        </is>
      </c>
      <c r="K27" t="inlineStr">
        <is>
          <t>N52/C4</t>
        </is>
      </c>
      <c r="L27" t="inlineStr">
        <is>
          <t>/composition/layers/49/clips/1/connect</t>
        </is>
      </c>
      <c r="M27" s="71" t="n">
        <v>1028</v>
      </c>
      <c r="N27" t="inlineStr">
        <is>
          <t>Button / value</t>
        </is>
      </c>
      <c r="O27" s="73" t="n"/>
      <c r="P27" s="73" t="n"/>
      <c r="R27" s="71" t="n">
        <v>128</v>
      </c>
      <c r="S27" s="71" t="n">
        <v>0</v>
      </c>
      <c r="T27" t="inlineStr">
        <is>
          <t>APC40 mkII</t>
        </is>
      </c>
      <c r="U27" t="inlineStr">
        <is>
          <t>/composition/layers/49/clips/1/connect</t>
        </is>
      </c>
      <c r="V27" t="inlineStr">
        <is>
          <t>/composition/layers/49/clips/1/connected</t>
        </is>
      </c>
      <c r="W27" t="inlineStr">
        <is>
          <t>/composition/layers/49/clips/1/connected</t>
        </is>
      </c>
      <c r="X27" t="inlineStr">
        <is>
          <t>Connected=0.039370078740157479769; Connected &amp; previewing=0.039370078740157479769; Disconnected=0; Empty=0; Off=0; Previewing=0</t>
        </is>
      </c>
    </row>
    <row r="28">
      <c r="A28" s="71" t="n">
        <v>24</v>
      </c>
      <c r="B28" s="72" t="inlineStr">
        <is>
          <t>1784313900037</t>
        </is>
      </c>
      <c r="C28" t="inlineStr">
        <is>
          <t>button_connect</t>
        </is>
      </c>
      <c r="D28" s="71" t="n">
        <v>37</v>
      </c>
      <c r="E28" t="inlineStr">
        <is>
          <t>G5-1</t>
        </is>
      </c>
      <c r="F28" t="inlineStr">
        <is>
          <t>Grid 1 Track 5</t>
        </is>
      </c>
      <c r="G28" t="inlineStr">
        <is>
          <t>note</t>
        </is>
      </c>
      <c r="H28" s="72" t="n">
        <v>36</v>
      </c>
      <c r="I28" s="72" t="n">
        <v>1</v>
      </c>
      <c r="J28" s="72" t="inlineStr">
        <is>
          <t>72057594037937296</t>
        </is>
      </c>
      <c r="K28" t="inlineStr">
        <is>
          <t>N36/C1</t>
        </is>
      </c>
      <c r="L28" t="inlineStr">
        <is>
          <t>/composition/layers/37/clips/1/connect</t>
        </is>
      </c>
      <c r="M28" s="71" t="n">
        <v>1028</v>
      </c>
      <c r="N28" t="inlineStr">
        <is>
          <t>Button / value</t>
        </is>
      </c>
      <c r="O28" s="73" t="n"/>
      <c r="P28" s="73" t="n"/>
      <c r="R28" s="71" t="n">
        <v>128</v>
      </c>
      <c r="S28" s="71" t="n">
        <v>0</v>
      </c>
      <c r="T28" t="inlineStr">
        <is>
          <t>APC40 mkII</t>
        </is>
      </c>
      <c r="U28" t="inlineStr">
        <is>
          <t>/composition/layers/37/clips/1/connect</t>
        </is>
      </c>
      <c r="V28" t="inlineStr">
        <is>
          <t>/composition/layers/37/clips/1/connected</t>
        </is>
      </c>
      <c r="W28" t="inlineStr">
        <is>
          <t>/composition/layers/37/clips/1/connected</t>
        </is>
      </c>
      <c r="X28" t="inlineStr">
        <is>
          <t>Connected=0.070866141732283463583; Connected &amp; previewing=0.070866141732283463583; Disconnected=0; Empty=0; Off=0; Previewing=0</t>
        </is>
      </c>
    </row>
    <row r="29">
      <c r="A29" s="71" t="n">
        <v>25</v>
      </c>
      <c r="B29" s="72" t="inlineStr">
        <is>
          <t>1784313900022</t>
        </is>
      </c>
      <c r="C29" t="inlineStr">
        <is>
          <t>button_connect</t>
        </is>
      </c>
      <c r="D29" s="71" t="n">
        <v>22</v>
      </c>
      <c r="E29" t="inlineStr">
        <is>
          <t>G6-3</t>
        </is>
      </c>
      <c r="F29" t="inlineStr">
        <is>
          <t>Grid 3 Track 6</t>
        </is>
      </c>
      <c r="G29" t="inlineStr">
        <is>
          <t>note</t>
        </is>
      </c>
      <c r="H29" s="72" t="n">
        <v>21</v>
      </c>
      <c r="I29" s="72" t="n">
        <v>1</v>
      </c>
      <c r="J29" s="72" t="inlineStr">
        <is>
          <t>72057594037933456</t>
        </is>
      </c>
      <c r="K29" t="inlineStr">
        <is>
          <t>N21/C1</t>
        </is>
      </c>
      <c r="L29" t="inlineStr">
        <is>
          <t>/composition/layers/22/clips/1/connect</t>
        </is>
      </c>
      <c r="M29" s="71" t="n">
        <v>1028</v>
      </c>
      <c r="N29" t="inlineStr">
        <is>
          <t>Button / value</t>
        </is>
      </c>
      <c r="O29" s="73" t="n"/>
      <c r="P29" s="73" t="n"/>
      <c r="R29" s="71" t="n">
        <v>128</v>
      </c>
      <c r="S29" s="71" t="n">
        <v>0</v>
      </c>
      <c r="T29" t="inlineStr">
        <is>
          <t>APC40 mkII</t>
        </is>
      </c>
      <c r="U29" t="inlineStr">
        <is>
          <t>/composition/layers/22/clips/1/connect</t>
        </is>
      </c>
      <c r="V29" t="inlineStr">
        <is>
          <t>/composition/layers/22/clips/1/connected</t>
        </is>
      </c>
      <c r="W29" t="inlineStr">
        <is>
          <t>/composition/layers/22/clips/1/connected</t>
        </is>
      </c>
      <c r="X29" t="inlineStr">
        <is>
          <t>Connected=0.38582677165354328785; Connected &amp; previewing=0.38582677165354328785; Disconnected=0; Empty=0; Off=0; Previewing=0</t>
        </is>
      </c>
    </row>
    <row r="30">
      <c r="A30" s="71" t="n">
        <v>26</v>
      </c>
      <c r="B30" s="72" t="inlineStr">
        <is>
          <t>1784313900032</t>
        </is>
      </c>
      <c r="C30" t="inlineStr">
        <is>
          <t>button_connect</t>
        </is>
      </c>
      <c r="D30" s="71" t="n">
        <v>32</v>
      </c>
      <c r="E30" t="inlineStr">
        <is>
          <t>G8-2</t>
        </is>
      </c>
      <c r="F30" t="inlineStr">
        <is>
          <t>Grid 2 Track 8</t>
        </is>
      </c>
      <c r="G30" t="inlineStr">
        <is>
          <t>note</t>
        </is>
      </c>
      <c r="H30" s="72" t="n">
        <v>31</v>
      </c>
      <c r="I30" s="72" t="n">
        <v>1</v>
      </c>
      <c r="J30" s="72" t="inlineStr">
        <is>
          <t>72057594037936016</t>
        </is>
      </c>
      <c r="K30" t="inlineStr">
        <is>
          <t>N31/C1</t>
        </is>
      </c>
      <c r="L30" t="inlineStr">
        <is>
          <t>/composition/layers/32/clips/1/connect</t>
        </is>
      </c>
      <c r="M30" s="71" t="n">
        <v>1028</v>
      </c>
      <c r="N30" t="inlineStr">
        <is>
          <t>Button / value</t>
        </is>
      </c>
      <c r="O30" s="73" t="n"/>
      <c r="P30" s="73" t="n"/>
      <c r="R30" s="71" t="n">
        <v>128</v>
      </c>
      <c r="S30" s="71" t="n">
        <v>0</v>
      </c>
      <c r="T30" t="inlineStr">
        <is>
          <t>APC40 mkII</t>
        </is>
      </c>
      <c r="U30" t="inlineStr">
        <is>
          <t>/composition/layers/32/clips/1/connect</t>
        </is>
      </c>
      <c r="V30" t="inlineStr">
        <is>
          <t>/composition/layers/32/clips/1/connected</t>
        </is>
      </c>
      <c r="W30" t="inlineStr">
        <is>
          <t>/composition/layers/32/clips/1/connected</t>
        </is>
      </c>
      <c r="X30" t="inlineStr">
        <is>
          <t>Connected=0.023622047244094487861; Connected &amp; previewing=0.023622047244094487861; Disconnected=0; Empty=0; Off=0; Previewing=0</t>
        </is>
      </c>
    </row>
    <row r="31">
      <c r="A31" s="71" t="n">
        <v>27</v>
      </c>
      <c r="B31" s="72" t="inlineStr">
        <is>
          <t>1784313900031</t>
        </is>
      </c>
      <c r="C31" t="inlineStr">
        <is>
          <t>button_connect</t>
        </is>
      </c>
      <c r="D31" s="71" t="n">
        <v>31</v>
      </c>
      <c r="E31" t="inlineStr">
        <is>
          <t>G7-2</t>
        </is>
      </c>
      <c r="F31" t="inlineStr">
        <is>
          <t>Grid 2 Track 7</t>
        </is>
      </c>
      <c r="G31" t="inlineStr">
        <is>
          <t>note</t>
        </is>
      </c>
      <c r="H31" s="72" t="n">
        <v>30</v>
      </c>
      <c r="I31" s="72" t="n">
        <v>1</v>
      </c>
      <c r="J31" s="72" t="inlineStr">
        <is>
          <t>72057594037935760</t>
        </is>
      </c>
      <c r="K31" t="inlineStr">
        <is>
          <t>N30/C1</t>
        </is>
      </c>
      <c r="L31" t="inlineStr">
        <is>
          <t>/composition/layers/31/clips/1/connect</t>
        </is>
      </c>
      <c r="M31" s="71" t="n">
        <v>1028</v>
      </c>
      <c r="N31" t="inlineStr">
        <is>
          <t>Button / value</t>
        </is>
      </c>
      <c r="O31" s="73" t="n"/>
      <c r="P31" s="73" t="n"/>
      <c r="R31" s="71" t="n">
        <v>128</v>
      </c>
      <c r="S31" s="71" t="n">
        <v>0</v>
      </c>
      <c r="T31" t="inlineStr">
        <is>
          <t>APC40 mkII</t>
        </is>
      </c>
      <c r="U31" t="inlineStr">
        <is>
          <t>/composition/layers/31/clips/1/connect</t>
        </is>
      </c>
      <c r="V31" t="inlineStr">
        <is>
          <t>/composition/layers/31/clips/1/connected</t>
        </is>
      </c>
      <c r="W31" t="inlineStr">
        <is>
          <t>/composition/layers/31/clips/1/connected</t>
        </is>
      </c>
      <c r="X31" t="inlineStr">
        <is>
          <t>Connected=0.41732283464566927167; Connected &amp; previewing=0.41732283464566927167; Disconnected=0; Empty=0; Off=0; Previewing=0</t>
        </is>
      </c>
    </row>
    <row r="32">
      <c r="A32" s="71" t="n">
        <v>28</v>
      </c>
      <c r="B32" s="72" t="inlineStr">
        <is>
          <t>1784313900019</t>
        </is>
      </c>
      <c r="C32" t="inlineStr">
        <is>
          <t>button_connect</t>
        </is>
      </c>
      <c r="D32" s="71" t="n">
        <v>19</v>
      </c>
      <c r="E32" t="inlineStr">
        <is>
          <t>G3-3</t>
        </is>
      </c>
      <c r="F32" t="inlineStr">
        <is>
          <t>Grid 3 Track 3</t>
        </is>
      </c>
      <c r="G32" t="inlineStr">
        <is>
          <t>note</t>
        </is>
      </c>
      <c r="H32" s="72" t="n">
        <v>18</v>
      </c>
      <c r="I32" s="72" t="n">
        <v>1</v>
      </c>
      <c r="J32" s="72" t="inlineStr">
        <is>
          <t>72057594037932688</t>
        </is>
      </c>
      <c r="K32" t="inlineStr">
        <is>
          <t>N18/C1</t>
        </is>
      </c>
      <c r="L32" t="inlineStr">
        <is>
          <t>/composition/layers/19/clips/1/connect</t>
        </is>
      </c>
      <c r="M32" s="71" t="n">
        <v>1028</v>
      </c>
      <c r="N32" t="inlineStr">
        <is>
          <t>Button / value</t>
        </is>
      </c>
      <c r="O32" s="73" t="n"/>
      <c r="P32" s="73" t="n"/>
      <c r="R32" s="71" t="n">
        <v>128</v>
      </c>
      <c r="S32" s="71" t="n">
        <v>0</v>
      </c>
      <c r="T32" t="inlineStr">
        <is>
          <t>APC40 mkII</t>
        </is>
      </c>
      <c r="U32" t="inlineStr">
        <is>
          <t>/composition/layers/19/clips/1/connect</t>
        </is>
      </c>
      <c r="V32" t="inlineStr">
        <is>
          <t>/composition/layers/19/clips/1/connected</t>
        </is>
      </c>
      <c r="W32" t="inlineStr">
        <is>
          <t>/composition/layers/19/clips/1/connected</t>
        </is>
      </c>
      <c r="X32" t="inlineStr">
        <is>
          <t>Connected=0.16535433070866142891; Connected &amp; previewing=0.16535433070866142891; Disconnected=0; Empty=0; Off=0; Previewing=0</t>
        </is>
      </c>
    </row>
    <row r="33">
      <c r="A33" s="71" t="n">
        <v>29</v>
      </c>
      <c r="B33" s="72" t="inlineStr">
        <is>
          <t>1784313900054</t>
        </is>
      </c>
      <c r="C33" t="inlineStr">
        <is>
          <t>button_connect</t>
        </is>
      </c>
      <c r="D33" s="71" t="n">
        <v>54</v>
      </c>
      <c r="E33" t="inlineStr">
        <is>
          <t>SEL1</t>
        </is>
      </c>
      <c r="F33" t="inlineStr">
        <is>
          <t>Track Select 1</t>
        </is>
      </c>
      <c r="G33" t="inlineStr">
        <is>
          <t>note</t>
        </is>
      </c>
      <c r="H33" s="72" t="n">
        <v>51</v>
      </c>
      <c r="I33" s="72" t="n">
        <v>1</v>
      </c>
      <c r="J33" s="72" t="inlineStr">
        <is>
          <t>72057594037941136</t>
        </is>
      </c>
      <c r="K33" t="inlineStr">
        <is>
          <t>N51/C1</t>
        </is>
      </c>
      <c r="L33" t="inlineStr">
        <is>
          <t>/composition/layers/54/clips/1/connect</t>
        </is>
      </c>
      <c r="M33" s="71" t="n">
        <v>1028</v>
      </c>
      <c r="N33" t="inlineStr">
        <is>
          <t>Button / value</t>
        </is>
      </c>
      <c r="O33" s="73" t="n"/>
      <c r="P33" s="73" t="n"/>
      <c r="R33" s="71" t="n">
        <v>128</v>
      </c>
      <c r="S33" s="71" t="n">
        <v>0</v>
      </c>
      <c r="T33" t="inlineStr">
        <is>
          <t>APC40 mkII</t>
        </is>
      </c>
      <c r="U33" t="inlineStr">
        <is>
          <t>/composition/layers/54/clips/1/connect</t>
        </is>
      </c>
      <c r="V33" t="inlineStr">
        <is>
          <t>/composition/layers/54/clips/1/connected</t>
        </is>
      </c>
      <c r="W33" t="inlineStr">
        <is>
          <t>/composition/layers/54/clips/1/connected</t>
        </is>
      </c>
      <c r="X33" t="inlineStr">
        <is>
          <t>Connected=0.35433070866141730404; Connected &amp; previewing=0.35433070866141730404; Disconnected=0; Empty=0; Off=0; Previewing=0</t>
        </is>
      </c>
    </row>
    <row r="34">
      <c r="A34" s="71" t="n">
        <v>30</v>
      </c>
      <c r="B34" s="72" t="inlineStr">
        <is>
          <t>1784313900017</t>
        </is>
      </c>
      <c r="C34" t="inlineStr">
        <is>
          <t>button_connect</t>
        </is>
      </c>
      <c r="D34" s="71" t="n">
        <v>17</v>
      </c>
      <c r="E34" t="inlineStr">
        <is>
          <t>G1-3</t>
        </is>
      </c>
      <c r="F34" t="inlineStr">
        <is>
          <t>Grid 3 Track 1</t>
        </is>
      </c>
      <c r="G34" t="inlineStr">
        <is>
          <t>note</t>
        </is>
      </c>
      <c r="H34" s="72" t="n">
        <v>16</v>
      </c>
      <c r="I34" s="72" t="n">
        <v>1</v>
      </c>
      <c r="J34" s="72" t="inlineStr">
        <is>
          <t>72057594037932176</t>
        </is>
      </c>
      <c r="K34" t="inlineStr">
        <is>
          <t>N16/C1</t>
        </is>
      </c>
      <c r="L34" t="inlineStr">
        <is>
          <t>/composition/layers/17/clips/1/connect</t>
        </is>
      </c>
      <c r="M34" s="71" t="n">
        <v>1028</v>
      </c>
      <c r="N34" t="inlineStr">
        <is>
          <t>Button / value</t>
        </is>
      </c>
      <c r="O34" s="73" t="n"/>
      <c r="P34" s="73" t="n"/>
      <c r="R34" s="71" t="n">
        <v>128</v>
      </c>
      <c r="S34" s="71" t="n">
        <v>0</v>
      </c>
      <c r="T34" t="inlineStr">
        <is>
          <t>APC40 mkII</t>
        </is>
      </c>
      <c r="U34" t="inlineStr">
        <is>
          <t>/composition/layers/17/clips/1/connect</t>
        </is>
      </c>
      <c r="V34" t="inlineStr">
        <is>
          <t>/composition/layers/17/clips/1/connected</t>
        </is>
      </c>
      <c r="W34" t="inlineStr">
        <is>
          <t>/composition/layers/17/clips/1/connected</t>
        </is>
      </c>
      <c r="X34" t="inlineStr">
        <is>
          <t>Connected=0.35433070866141730404; Connected &amp; previewing=0.35433070866141730404; Disconnected=0; Empty=0; Off=0; Previewing=0</t>
        </is>
      </c>
    </row>
    <row r="35">
      <c r="A35" s="71" t="n">
        <v>31</v>
      </c>
      <c r="B35" s="72" t="inlineStr">
        <is>
          <t>1784313900011</t>
        </is>
      </c>
      <c r="C35" t="inlineStr">
        <is>
          <t>button_connect</t>
        </is>
      </c>
      <c r="D35" s="71" t="n">
        <v>11</v>
      </c>
      <c r="E35" t="inlineStr">
        <is>
          <t>G3-4</t>
        </is>
      </c>
      <c r="F35" t="inlineStr">
        <is>
          <t>Grid 4 Track 3</t>
        </is>
      </c>
      <c r="G35" t="inlineStr">
        <is>
          <t>note</t>
        </is>
      </c>
      <c r="H35" s="72" t="n">
        <v>10</v>
      </c>
      <c r="I35" s="72" t="n">
        <v>1</v>
      </c>
      <c r="J35" s="72" t="inlineStr">
        <is>
          <t>72057594037930640</t>
        </is>
      </c>
      <c r="K35" t="inlineStr">
        <is>
          <t>N10/C1</t>
        </is>
      </c>
      <c r="L35" t="inlineStr">
        <is>
          <t>/composition/layers/11/clips/1/connect</t>
        </is>
      </c>
      <c r="M35" s="71" t="n">
        <v>1028</v>
      </c>
      <c r="N35" t="inlineStr">
        <is>
          <t>Button / value</t>
        </is>
      </c>
      <c r="O35" s="73" t="n"/>
      <c r="P35" s="73" t="n"/>
      <c r="R35" s="71" t="n">
        <v>128</v>
      </c>
      <c r="S35" s="71" t="n">
        <v>0</v>
      </c>
      <c r="T35" t="inlineStr">
        <is>
          <t>APC40 mkII</t>
        </is>
      </c>
      <c r="U35" t="inlineStr">
        <is>
          <t>/composition/layers/11/clips/1/connect</t>
        </is>
      </c>
      <c r="V35" t="inlineStr">
        <is>
          <t>/composition/layers/11/clips/1/connected</t>
        </is>
      </c>
      <c r="W35" t="inlineStr">
        <is>
          <t>/composition/layers/11/clips/1/connected</t>
        </is>
      </c>
      <c r="X35" t="inlineStr">
        <is>
          <t>Connected=0.16535433070866142891; Connected &amp; previewing=0.16535433070866142891; Disconnected=0; Empty=0; Off=0; Previewing=0</t>
        </is>
      </c>
    </row>
    <row r="36">
      <c r="A36" s="71" t="n">
        <v>32</v>
      </c>
      <c r="B36" s="72" t="inlineStr">
        <is>
          <t>1784313900010</t>
        </is>
      </c>
      <c r="C36" t="inlineStr">
        <is>
          <t>button_connect</t>
        </is>
      </c>
      <c r="D36" s="71" t="n">
        <v>10</v>
      </c>
      <c r="E36" t="inlineStr">
        <is>
          <t>G2-4</t>
        </is>
      </c>
      <c r="F36" t="inlineStr">
        <is>
          <t>Grid 4 Track 2</t>
        </is>
      </c>
      <c r="G36" t="inlineStr">
        <is>
          <t>note</t>
        </is>
      </c>
      <c r="H36" s="72" t="n">
        <v>9</v>
      </c>
      <c r="I36" s="72" t="n">
        <v>1</v>
      </c>
      <c r="J36" s="72" t="inlineStr">
        <is>
          <t>72057594037930384</t>
        </is>
      </c>
      <c r="K36" t="inlineStr">
        <is>
          <t>N9/C1</t>
        </is>
      </c>
      <c r="L36" t="inlineStr">
        <is>
          <t>/composition/layers/10/clips/1/connect</t>
        </is>
      </c>
      <c r="M36" s="71" t="n">
        <v>1028</v>
      </c>
      <c r="N36" t="inlineStr">
        <is>
          <t>Button / value</t>
        </is>
      </c>
      <c r="O36" s="73" t="n"/>
      <c r="P36" s="73" t="n"/>
      <c r="R36" s="71" t="n">
        <v>128</v>
      </c>
      <c r="S36" s="71" t="n">
        <v>0</v>
      </c>
      <c r="T36" t="inlineStr">
        <is>
          <t>APC40 mkII</t>
        </is>
      </c>
      <c r="U36" t="inlineStr">
        <is>
          <t>/composition/layers/10/clips/1/connect</t>
        </is>
      </c>
      <c r="V36" t="inlineStr">
        <is>
          <t>/composition/layers/10/clips/1/connected</t>
        </is>
      </c>
      <c r="W36" t="inlineStr">
        <is>
          <t>/composition/layers/10/clips/1/connected</t>
        </is>
      </c>
      <c r="X36" t="inlineStr">
        <is>
          <t>Connected=0.29133858267716533641; Connected &amp; previewing=0.29133858267716533641; Disconnected=0; Empty=0; Off=0; Previewing=0</t>
        </is>
      </c>
    </row>
    <row r="37">
      <c r="A37" s="71" t="n">
        <v>33</v>
      </c>
      <c r="B37" s="72" t="inlineStr">
        <is>
          <t>1784313900018</t>
        </is>
      </c>
      <c r="C37" t="inlineStr">
        <is>
          <t>button_connect</t>
        </is>
      </c>
      <c r="D37" s="71" t="n">
        <v>18</v>
      </c>
      <c r="E37" t="inlineStr">
        <is>
          <t>G2-3</t>
        </is>
      </c>
      <c r="F37" t="inlineStr">
        <is>
          <t>Grid 3 Track 2</t>
        </is>
      </c>
      <c r="G37" t="inlineStr">
        <is>
          <t>note</t>
        </is>
      </c>
      <c r="H37" s="72" t="n">
        <v>17</v>
      </c>
      <c r="I37" s="72" t="n">
        <v>1</v>
      </c>
      <c r="J37" s="72" t="inlineStr">
        <is>
          <t>72057594037932432</t>
        </is>
      </c>
      <c r="K37" t="inlineStr">
        <is>
          <t>N17/C1</t>
        </is>
      </c>
      <c r="L37" t="inlineStr">
        <is>
          <t>/composition/layers/18/clips/1/connect</t>
        </is>
      </c>
      <c r="M37" s="71" t="n">
        <v>1028</v>
      </c>
      <c r="N37" t="inlineStr">
        <is>
          <t>Button / value</t>
        </is>
      </c>
      <c r="O37" s="73" t="n"/>
      <c r="P37" s="73" t="n"/>
      <c r="R37" s="71" t="n">
        <v>128</v>
      </c>
      <c r="S37" s="71" t="n">
        <v>0</v>
      </c>
      <c r="T37" t="inlineStr">
        <is>
          <t>APC40 mkII</t>
        </is>
      </c>
      <c r="U37" t="inlineStr">
        <is>
          <t>/composition/layers/18/clips/1/connect</t>
        </is>
      </c>
      <c r="V37" t="inlineStr">
        <is>
          <t>/composition/layers/18/clips/1/connected</t>
        </is>
      </c>
      <c r="W37" t="inlineStr">
        <is>
          <t>/composition/layers/18/clips/1/connected</t>
        </is>
      </c>
      <c r="X37" t="inlineStr">
        <is>
          <t>Connected=0.29133858267716533641; Connected &amp; previewing=0.29133858267716533641; Disconnected=0; Empty=0; Off=0; Previewing=0</t>
        </is>
      </c>
    </row>
    <row r="38">
      <c r="A38" s="71" t="n">
        <v>34</v>
      </c>
      <c r="B38" s="72" t="inlineStr">
        <is>
          <t>1784313900002</t>
        </is>
      </c>
      <c r="C38" t="inlineStr">
        <is>
          <t>button_connect</t>
        </is>
      </c>
      <c r="D38" s="71" t="n">
        <v>2</v>
      </c>
      <c r="E38" t="inlineStr">
        <is>
          <t>G2-5</t>
        </is>
      </c>
      <c r="F38" t="inlineStr">
        <is>
          <t>Grid 5 Track 2</t>
        </is>
      </c>
      <c r="G38" t="inlineStr">
        <is>
          <t>note</t>
        </is>
      </c>
      <c r="H38" s="72" t="n">
        <v>1</v>
      </c>
      <c r="I38" s="72" t="n">
        <v>1</v>
      </c>
      <c r="J38" s="72" t="inlineStr">
        <is>
          <t>72057594037928336</t>
        </is>
      </c>
      <c r="K38" t="inlineStr">
        <is>
          <t>N1/C1</t>
        </is>
      </c>
      <c r="L38" t="inlineStr">
        <is>
          <t>/composition/layers/2/clips/1/connect</t>
        </is>
      </c>
      <c r="M38" s="71" t="n">
        <v>1028</v>
      </c>
      <c r="N38" t="inlineStr">
        <is>
          <t>Button / value</t>
        </is>
      </c>
      <c r="O38" s="73" t="n"/>
      <c r="P38" s="73" t="n"/>
      <c r="R38" s="71" t="n">
        <v>128</v>
      </c>
      <c r="S38" s="71" t="n">
        <v>0</v>
      </c>
      <c r="T38" t="inlineStr">
        <is>
          <t>APC40 mkII</t>
        </is>
      </c>
      <c r="U38" t="inlineStr">
        <is>
          <t>/composition/layers/2/clips/1/connect</t>
        </is>
      </c>
      <c r="V38" t="inlineStr">
        <is>
          <t>/composition/layers/2/clips/1/connected</t>
        </is>
      </c>
      <c r="W38" t="inlineStr">
        <is>
          <t>/composition/layers/2/clips/1/connected</t>
        </is>
      </c>
      <c r="X38" t="inlineStr">
        <is>
          <t>Connected=0.29133858267716533641; Connected &amp; previewing=0.29133858267716533641; Disconnected=0; Empty=0; Off=0; Previewing=0</t>
        </is>
      </c>
    </row>
    <row r="39">
      <c r="A39" s="71" t="n">
        <v>35</v>
      </c>
      <c r="B39" s="72" t="inlineStr">
        <is>
          <t>1784313900048</t>
        </is>
      </c>
      <c r="C39" t="inlineStr">
        <is>
          <t>button_connect</t>
        </is>
      </c>
      <c r="D39" s="71" t="n">
        <v>48</v>
      </c>
      <c r="E39" t="inlineStr">
        <is>
          <t>STOP3</t>
        </is>
      </c>
      <c r="F39" t="inlineStr">
        <is>
          <t>Clip Stop 3</t>
        </is>
      </c>
      <c r="G39" t="inlineStr">
        <is>
          <t>note</t>
        </is>
      </c>
      <c r="H39" s="72" t="n">
        <v>52</v>
      </c>
      <c r="I39" s="72" t="n">
        <v>3</v>
      </c>
      <c r="J39" s="72" t="inlineStr">
        <is>
          <t>72057594037941394</t>
        </is>
      </c>
      <c r="K39" t="inlineStr">
        <is>
          <t>N52/C3</t>
        </is>
      </c>
      <c r="L39" t="inlineStr">
        <is>
          <t>/composition/layers/48/clips/1/connect</t>
        </is>
      </c>
      <c r="M39" s="71" t="n">
        <v>1028</v>
      </c>
      <c r="N39" t="inlineStr">
        <is>
          <t>Button / value</t>
        </is>
      </c>
      <c r="O39" s="73" t="n"/>
      <c r="P39" s="73" t="n"/>
      <c r="R39" s="71" t="n">
        <v>128</v>
      </c>
      <c r="S39" s="71" t="n">
        <v>0</v>
      </c>
      <c r="T39" t="inlineStr">
        <is>
          <t>APC40 mkII</t>
        </is>
      </c>
      <c r="U39" t="inlineStr">
        <is>
          <t>/composition/layers/48/clips/1/connect</t>
        </is>
      </c>
      <c r="V39" t="inlineStr">
        <is>
          <t>/composition/layers/48/clips/1/connected</t>
        </is>
      </c>
      <c r="W39" t="inlineStr">
        <is>
          <t>/composition/layers/48/clips/1/connected</t>
        </is>
      </c>
      <c r="X39" t="inlineStr">
        <is>
          <t>Connected=0.039370078740157479769; Connected &amp; previewing=0.039370078740157479769; Disconnected=0; Empty=0; Off=0; Previewing=0</t>
        </is>
      </c>
    </row>
    <row r="40">
      <c r="A40" s="71" t="n">
        <v>36</v>
      </c>
      <c r="B40" s="72" t="inlineStr">
        <is>
          <t>1784313900064</t>
        </is>
      </c>
      <c r="C40" t="inlineStr">
        <is>
          <t>button_connect</t>
        </is>
      </c>
      <c r="D40" s="71" t="n">
        <v>64</v>
      </c>
      <c r="E40" t="inlineStr">
        <is>
          <t>●</t>
        </is>
      </c>
      <c r="F40" t="inlineStr">
        <is>
          <t>Record Arm 3</t>
        </is>
      </c>
      <c r="G40" t="inlineStr">
        <is>
          <t>note</t>
        </is>
      </c>
      <c r="H40" s="72" t="n">
        <v>48</v>
      </c>
      <c r="I40" s="72" t="n">
        <v>3</v>
      </c>
      <c r="J40" s="72" t="inlineStr">
        <is>
          <t>72057594037940370</t>
        </is>
      </c>
      <c r="K40" t="inlineStr">
        <is>
          <t>N48/C3</t>
        </is>
      </c>
      <c r="L40" t="inlineStr">
        <is>
          <t>/composition/layers/64/clips/1/connect</t>
        </is>
      </c>
      <c r="M40" s="71" t="n">
        <v>1028</v>
      </c>
      <c r="N40" t="inlineStr">
        <is>
          <t>Button / value</t>
        </is>
      </c>
      <c r="O40" s="73" t="n"/>
      <c r="P40" s="73" t="n"/>
      <c r="R40" s="71" t="n">
        <v>128</v>
      </c>
      <c r="S40" s="71" t="n">
        <v>0</v>
      </c>
      <c r="T40" t="inlineStr">
        <is>
          <t>APC40 mkII</t>
        </is>
      </c>
      <c r="U40" t="inlineStr">
        <is>
          <t>/composition/layers/64/clips/1/connect</t>
        </is>
      </c>
      <c r="V40" t="inlineStr">
        <is>
          <t>/composition/layers/64/clips/1/connected</t>
        </is>
      </c>
      <c r="W40" t="inlineStr">
        <is>
          <t>/composition/layers/64/clips/1/connected</t>
        </is>
      </c>
      <c r="X40" t="inlineStr">
        <is>
          <t>Connected=0.039370078740157479769; Connected &amp; previewing=0.039370078740157479769; Disconnected=0; Empty=0; Off=0; Previewing=0</t>
        </is>
      </c>
    </row>
    <row r="41">
      <c r="A41" s="71" t="n">
        <v>37</v>
      </c>
      <c r="B41" s="72" t="inlineStr">
        <is>
          <t>1784313900015</t>
        </is>
      </c>
      <c r="C41" t="inlineStr">
        <is>
          <t>button_connect</t>
        </is>
      </c>
      <c r="D41" s="71" t="n">
        <v>15</v>
      </c>
      <c r="E41" t="inlineStr">
        <is>
          <t>G7-4</t>
        </is>
      </c>
      <c r="F41" t="inlineStr">
        <is>
          <t>Grid 4 Track 7</t>
        </is>
      </c>
      <c r="G41" t="inlineStr">
        <is>
          <t>note</t>
        </is>
      </c>
      <c r="H41" s="72" t="n">
        <v>14</v>
      </c>
      <c r="I41" s="72" t="n">
        <v>1</v>
      </c>
      <c r="J41" s="72" t="inlineStr">
        <is>
          <t>72057594037931664</t>
        </is>
      </c>
      <c r="K41" t="inlineStr">
        <is>
          <t>N14/C1</t>
        </is>
      </c>
      <c r="L41" t="inlineStr">
        <is>
          <t>/composition/layers/15/clips/1/connect</t>
        </is>
      </c>
      <c r="M41" s="71" t="n">
        <v>1028</v>
      </c>
      <c r="N41" t="inlineStr">
        <is>
          <t>Button / value</t>
        </is>
      </c>
      <c r="O41" s="73" t="n"/>
      <c r="P41" s="73" t="n"/>
      <c r="R41" s="71" t="n">
        <v>128</v>
      </c>
      <c r="S41" s="71" t="n">
        <v>0</v>
      </c>
      <c r="T41" t="inlineStr">
        <is>
          <t>APC40 mkII</t>
        </is>
      </c>
      <c r="U41" t="inlineStr">
        <is>
          <t>/composition/layers/15/clips/1/connect</t>
        </is>
      </c>
      <c r="V41" t="inlineStr">
        <is>
          <t>/composition/layers/15/clips/1/connected</t>
        </is>
      </c>
      <c r="W41" t="inlineStr">
        <is>
          <t>/composition/layers/15/clips/1/connected</t>
        </is>
      </c>
      <c r="X41" t="inlineStr">
        <is>
          <t>Connected=0.41732283464566927167; Connected &amp; previewing=0.41732283464566927167; Disconnected=0; Empty=0; Off=0; Previewing=0</t>
        </is>
      </c>
    </row>
    <row r="42">
      <c r="A42" s="71" t="n">
        <v>38</v>
      </c>
      <c r="B42" s="72" t="inlineStr">
        <is>
          <t>1784313900009</t>
        </is>
      </c>
      <c r="C42" t="inlineStr">
        <is>
          <t>button_connect</t>
        </is>
      </c>
      <c r="D42" s="71" t="n">
        <v>9</v>
      </c>
      <c r="E42" t="inlineStr">
        <is>
          <t>G1-4</t>
        </is>
      </c>
      <c r="F42" t="inlineStr">
        <is>
          <t>Grid 4 Track 1</t>
        </is>
      </c>
      <c r="G42" t="inlineStr">
        <is>
          <t>note</t>
        </is>
      </c>
      <c r="H42" s="72" t="n">
        <v>8</v>
      </c>
      <c r="I42" s="72" t="n">
        <v>1</v>
      </c>
      <c r="J42" s="72" t="inlineStr">
        <is>
          <t>72057594037930128</t>
        </is>
      </c>
      <c r="K42" t="inlineStr">
        <is>
          <t>N8/C1</t>
        </is>
      </c>
      <c r="L42" t="inlineStr">
        <is>
          <t>/composition/layers/9/clips/1/connect</t>
        </is>
      </c>
      <c r="M42" s="71" t="n">
        <v>1028</v>
      </c>
      <c r="N42" t="inlineStr">
        <is>
          <t>Button / value</t>
        </is>
      </c>
      <c r="O42" s="73" t="n"/>
      <c r="P42" s="73" t="n"/>
      <c r="R42" s="71" t="n">
        <v>128</v>
      </c>
      <c r="S42" s="71" t="n">
        <v>0</v>
      </c>
      <c r="T42" t="inlineStr">
        <is>
          <t>APC40 mkII</t>
        </is>
      </c>
      <c r="U42" t="inlineStr">
        <is>
          <t>/composition/layers/9/clips/1/connect</t>
        </is>
      </c>
      <c r="V42" t="inlineStr">
        <is>
          <t>/composition/layers/9/clips/1/connected</t>
        </is>
      </c>
      <c r="W42" t="inlineStr">
        <is>
          <t>/composition/layers/9/clips/1/connected</t>
        </is>
      </c>
      <c r="X42" t="inlineStr">
        <is>
          <t>Connected=0.35433070866141730404; Connected &amp; previewing=0.35433070866141730404; Disconnected=0; Empty=0; Off=0; Previewing=0</t>
        </is>
      </c>
    </row>
    <row r="43">
      <c r="A43" s="71" t="n">
        <v>39</v>
      </c>
      <c r="B43" s="72" t="inlineStr">
        <is>
          <t>1784313900021</t>
        </is>
      </c>
      <c r="C43" t="inlineStr">
        <is>
          <t>button_connect</t>
        </is>
      </c>
      <c r="D43" s="71" t="n">
        <v>21</v>
      </c>
      <c r="E43" t="inlineStr">
        <is>
          <t>G5-3</t>
        </is>
      </c>
      <c r="F43" t="inlineStr">
        <is>
          <t>Grid 3 Track 5</t>
        </is>
      </c>
      <c r="G43" t="inlineStr">
        <is>
          <t>note</t>
        </is>
      </c>
      <c r="H43" s="72" t="n">
        <v>20</v>
      </c>
      <c r="I43" s="72" t="n">
        <v>1</v>
      </c>
      <c r="J43" s="72" t="inlineStr">
        <is>
          <t>72057594037933200</t>
        </is>
      </c>
      <c r="K43" t="inlineStr">
        <is>
          <t>N20/C1</t>
        </is>
      </c>
      <c r="L43" t="inlineStr">
        <is>
          <t>/composition/layers/21/clips/1/connect</t>
        </is>
      </c>
      <c r="M43" s="71" t="n">
        <v>1028</v>
      </c>
      <c r="N43" t="inlineStr">
        <is>
          <t>Button / value</t>
        </is>
      </c>
      <c r="O43" s="73" t="n"/>
      <c r="P43" s="73" t="n"/>
      <c r="R43" s="71" t="n">
        <v>128</v>
      </c>
      <c r="S43" s="71" t="n">
        <v>0</v>
      </c>
      <c r="T43" t="inlineStr">
        <is>
          <t>APC40 mkII</t>
        </is>
      </c>
      <c r="U43" t="inlineStr">
        <is>
          <t>/composition/layers/21/clips/1/connect</t>
        </is>
      </c>
      <c r="V43" t="inlineStr">
        <is>
          <t>/composition/layers/21/clips/1/connected</t>
        </is>
      </c>
      <c r="W43" t="inlineStr">
        <is>
          <t>/composition/layers/21/clips/1/connected</t>
        </is>
      </c>
      <c r="X43" t="inlineStr">
        <is>
          <t>Connected=0.070866141732283463583; Connected &amp; previewing=0.070866141732283463583; Disconnected=0; Empty=0; Off=0; Previewing=0</t>
        </is>
      </c>
    </row>
    <row r="44">
      <c r="A44" s="71" t="n">
        <v>40</v>
      </c>
      <c r="B44" s="72" t="inlineStr">
        <is>
          <t>1784313900030</t>
        </is>
      </c>
      <c r="C44" t="inlineStr">
        <is>
          <t>button_connect</t>
        </is>
      </c>
      <c r="D44" s="71" t="n">
        <v>30</v>
      </c>
      <c r="E44" t="inlineStr">
        <is>
          <t>G6-2</t>
        </is>
      </c>
      <c r="F44" t="inlineStr">
        <is>
          <t>Grid 2 Track 6</t>
        </is>
      </c>
      <c r="G44" t="inlineStr">
        <is>
          <t>note</t>
        </is>
      </c>
      <c r="H44" s="72" t="n">
        <v>29</v>
      </c>
      <c r="I44" s="72" t="n">
        <v>1</v>
      </c>
      <c r="J44" s="72" t="inlineStr">
        <is>
          <t>72057594037935504</t>
        </is>
      </c>
      <c r="K44" t="inlineStr">
        <is>
          <t>N29/C1</t>
        </is>
      </c>
      <c r="L44" t="inlineStr">
        <is>
          <t>/composition/layers/30/clips/1/connect</t>
        </is>
      </c>
      <c r="M44" s="71" t="n">
        <v>1028</v>
      </c>
      <c r="N44" t="inlineStr">
        <is>
          <t>Button / value</t>
        </is>
      </c>
      <c r="O44" s="73" t="n"/>
      <c r="P44" s="73" t="n"/>
      <c r="R44" s="71" t="n">
        <v>128</v>
      </c>
      <c r="S44" s="71" t="n">
        <v>0</v>
      </c>
      <c r="T44" t="inlineStr">
        <is>
          <t>APC40 mkII</t>
        </is>
      </c>
      <c r="U44" t="inlineStr">
        <is>
          <t>/composition/layers/30/clips/1/connect</t>
        </is>
      </c>
      <c r="V44" t="inlineStr">
        <is>
          <t>/composition/layers/30/clips/1/connected</t>
        </is>
      </c>
      <c r="W44" t="inlineStr">
        <is>
          <t>/composition/layers/30/clips/1/connected</t>
        </is>
      </c>
      <c r="X44" t="inlineStr">
        <is>
          <t>Connected=0.38582677165354328785; Connected &amp; previewing=0.38582677165354328785; Disconnected=0; Empty=0; Off=0; Previewing=0</t>
        </is>
      </c>
    </row>
    <row r="45">
      <c r="A45" s="71" t="n">
        <v>41</v>
      </c>
      <c r="B45" s="72" t="inlineStr">
        <is>
          <t>1784313900026</t>
        </is>
      </c>
      <c r="C45" t="inlineStr">
        <is>
          <t>button_connect</t>
        </is>
      </c>
      <c r="D45" s="71" t="n">
        <v>26</v>
      </c>
      <c r="E45" t="inlineStr">
        <is>
          <t>G2-2</t>
        </is>
      </c>
      <c r="F45" t="inlineStr">
        <is>
          <t>Grid 2 Track 2</t>
        </is>
      </c>
      <c r="G45" t="inlineStr">
        <is>
          <t>note</t>
        </is>
      </c>
      <c r="H45" s="72" t="n">
        <v>25</v>
      </c>
      <c r="I45" s="72" t="n">
        <v>1</v>
      </c>
      <c r="J45" s="72" t="inlineStr">
        <is>
          <t>72057594037934480</t>
        </is>
      </c>
      <c r="K45" t="inlineStr">
        <is>
          <t>N25/C1</t>
        </is>
      </c>
      <c r="L45" t="inlineStr">
        <is>
          <t>/composition/layers/26/clips/1/connect</t>
        </is>
      </c>
      <c r="M45" s="71" t="n">
        <v>1028</v>
      </c>
      <c r="N45" t="inlineStr">
        <is>
          <t>Button / value</t>
        </is>
      </c>
      <c r="O45" s="73" t="n"/>
      <c r="P45" s="73" t="n"/>
      <c r="R45" s="71" t="n">
        <v>128</v>
      </c>
      <c r="S45" s="71" t="n">
        <v>0</v>
      </c>
      <c r="T45" t="inlineStr">
        <is>
          <t>APC40 mkII</t>
        </is>
      </c>
      <c r="U45" t="inlineStr">
        <is>
          <t>/composition/layers/26/clips/1/connect</t>
        </is>
      </c>
      <c r="V45" t="inlineStr">
        <is>
          <t>/composition/layers/26/clips/1/connected</t>
        </is>
      </c>
      <c r="W45" t="inlineStr">
        <is>
          <t>/composition/layers/26/clips/1/connected</t>
        </is>
      </c>
      <c r="X45" t="inlineStr">
        <is>
          <t>Connected=0.29133858267716533641; Connected &amp; previewing=0.29133858267716533641; Disconnected=0; Empty=0; Off=0; Previewing=0</t>
        </is>
      </c>
    </row>
    <row r="46">
      <c r="A46" s="71" t="n">
        <v>42</v>
      </c>
      <c r="B46" s="72" t="inlineStr">
        <is>
          <t>1784313900003</t>
        </is>
      </c>
      <c r="C46" t="inlineStr">
        <is>
          <t>button_connect</t>
        </is>
      </c>
      <c r="D46" s="71" t="n">
        <v>3</v>
      </c>
      <c r="E46" t="inlineStr">
        <is>
          <t>G3-5</t>
        </is>
      </c>
      <c r="F46" t="inlineStr">
        <is>
          <t>Grid 5 Track 3</t>
        </is>
      </c>
      <c r="G46" t="inlineStr">
        <is>
          <t>note</t>
        </is>
      </c>
      <c r="H46" s="72" t="n">
        <v>2</v>
      </c>
      <c r="I46" s="72" t="n">
        <v>1</v>
      </c>
      <c r="J46" s="72" t="inlineStr">
        <is>
          <t>72057594037928592</t>
        </is>
      </c>
      <c r="K46" t="inlineStr">
        <is>
          <t>N2/C1</t>
        </is>
      </c>
      <c r="L46" t="inlineStr">
        <is>
          <t>/composition/layers/3/clips/1/connect</t>
        </is>
      </c>
      <c r="M46" s="71" t="n">
        <v>1028</v>
      </c>
      <c r="N46" t="inlineStr">
        <is>
          <t>Button / value</t>
        </is>
      </c>
      <c r="O46" s="73" t="n"/>
      <c r="P46" s="73" t="n"/>
      <c r="R46" s="71" t="n">
        <v>128</v>
      </c>
      <c r="S46" s="71" t="n">
        <v>0</v>
      </c>
      <c r="T46" t="inlineStr">
        <is>
          <t>APC40 mkII</t>
        </is>
      </c>
      <c r="U46" t="inlineStr">
        <is>
          <t>/composition/layers/3/clips/1/connect</t>
        </is>
      </c>
      <c r="V46" t="inlineStr">
        <is>
          <t>/composition/layers/3/clips/1/connected</t>
        </is>
      </c>
      <c r="W46" t="inlineStr">
        <is>
          <t>/composition/layers/3/clips/1/connected</t>
        </is>
      </c>
      <c r="X46" t="inlineStr">
        <is>
          <t>Connected=0.16535433070866142891; Connected &amp; previewing=0.16535433070866142891; Disconnected=0; Empty=0; Off=0; Previewing=0</t>
        </is>
      </c>
    </row>
    <row r="47">
      <c r="A47" s="71" t="n">
        <v>43</v>
      </c>
      <c r="B47" s="72" t="inlineStr">
        <is>
          <t>1784313900062</t>
        </is>
      </c>
      <c r="C47" t="inlineStr">
        <is>
          <t>button_connect</t>
        </is>
      </c>
      <c r="D47" s="71" t="n">
        <v>62</v>
      </c>
      <c r="E47" t="inlineStr">
        <is>
          <t>●</t>
        </is>
      </c>
      <c r="F47" t="inlineStr">
        <is>
          <t>Record Arm 1</t>
        </is>
      </c>
      <c r="G47" t="inlineStr">
        <is>
          <t>note</t>
        </is>
      </c>
      <c r="H47" s="72" t="n">
        <v>48</v>
      </c>
      <c r="I47" s="72" t="n">
        <v>1</v>
      </c>
      <c r="J47" s="72" t="inlineStr">
        <is>
          <t>72057594037940368</t>
        </is>
      </c>
      <c r="K47" t="inlineStr">
        <is>
          <t>N48/C1</t>
        </is>
      </c>
      <c r="L47" t="inlineStr">
        <is>
          <t>/composition/layers/62/clips/1/connect</t>
        </is>
      </c>
      <c r="M47" s="71" t="n">
        <v>1028</v>
      </c>
      <c r="N47" t="inlineStr">
        <is>
          <t>Button / value</t>
        </is>
      </c>
      <c r="O47" s="73" t="n"/>
      <c r="P47" s="73" t="n"/>
      <c r="R47" s="71" t="n">
        <v>128</v>
      </c>
      <c r="S47" s="71" t="n">
        <v>0</v>
      </c>
      <c r="T47" t="inlineStr">
        <is>
          <t>APC40 mkII</t>
        </is>
      </c>
      <c r="U47" t="inlineStr">
        <is>
          <t>/composition/layers/62/clips/1/connect</t>
        </is>
      </c>
      <c r="V47" t="inlineStr">
        <is>
          <t>/composition/layers/62/clips/1/connected</t>
        </is>
      </c>
      <c r="W47" t="inlineStr">
        <is>
          <t>/composition/layers/62/clips/1/connected</t>
        </is>
      </c>
      <c r="X47" t="inlineStr">
        <is>
          <t>Connected=0.039370078740157479769; Connected &amp; previewing=0.039370078740157479769; Disconnected=0; Empty=0; Off=0; Previewing=0</t>
        </is>
      </c>
    </row>
    <row r="48">
      <c r="A48" s="71" t="n">
        <v>44</v>
      </c>
      <c r="B48" s="72" t="inlineStr">
        <is>
          <t>1784313900034</t>
        </is>
      </c>
      <c r="C48" t="inlineStr">
        <is>
          <t>button_connect</t>
        </is>
      </c>
      <c r="D48" s="71" t="n">
        <v>34</v>
      </c>
      <c r="E48" t="inlineStr">
        <is>
          <t>G2-1</t>
        </is>
      </c>
      <c r="F48" t="inlineStr">
        <is>
          <t>Grid 1 Track 2</t>
        </is>
      </c>
      <c r="G48" t="inlineStr">
        <is>
          <t>note</t>
        </is>
      </c>
      <c r="H48" s="72" t="n">
        <v>33</v>
      </c>
      <c r="I48" s="72" t="n">
        <v>1</v>
      </c>
      <c r="J48" s="72" t="inlineStr">
        <is>
          <t>72057594037936528</t>
        </is>
      </c>
      <c r="K48" t="inlineStr">
        <is>
          <t>N33/C1</t>
        </is>
      </c>
      <c r="L48" t="inlineStr">
        <is>
          <t>/composition/layers/34/clips/1/connect</t>
        </is>
      </c>
      <c r="M48" s="71" t="n">
        <v>1028</v>
      </c>
      <c r="N48" t="inlineStr">
        <is>
          <t>Button / value</t>
        </is>
      </c>
      <c r="O48" s="73" t="n"/>
      <c r="P48" s="73" t="n"/>
      <c r="R48" s="71" t="n">
        <v>128</v>
      </c>
      <c r="S48" s="71" t="n">
        <v>0</v>
      </c>
      <c r="T48" t="inlineStr">
        <is>
          <t>APC40 mkII</t>
        </is>
      </c>
      <c r="U48" t="inlineStr">
        <is>
          <t>/composition/layers/34/clips/1/connect</t>
        </is>
      </c>
      <c r="V48" t="inlineStr">
        <is>
          <t>/composition/layers/34/clips/1/connected</t>
        </is>
      </c>
      <c r="W48" t="inlineStr">
        <is>
          <t>/composition/layers/34/clips/1/connected</t>
        </is>
      </c>
      <c r="X48" t="inlineStr">
        <is>
          <t>Connected=0.29133858267716533641; Connected &amp; previewing=0.29133858267716533641; Disconnected=0; Empty=0; Off=0; Previewing=0</t>
        </is>
      </c>
    </row>
    <row r="49">
      <c r="A49" s="71" t="n">
        <v>45</v>
      </c>
      <c r="B49" s="72" t="inlineStr">
        <is>
          <t>1784313900025</t>
        </is>
      </c>
      <c r="C49" t="inlineStr">
        <is>
          <t>button_connect</t>
        </is>
      </c>
      <c r="D49" s="71" t="n">
        <v>25</v>
      </c>
      <c r="E49" t="inlineStr">
        <is>
          <t>G1-2</t>
        </is>
      </c>
      <c r="F49" t="inlineStr">
        <is>
          <t>Grid 2 Track 1</t>
        </is>
      </c>
      <c r="G49" t="inlineStr">
        <is>
          <t>note</t>
        </is>
      </c>
      <c r="H49" s="72" t="n">
        <v>24</v>
      </c>
      <c r="I49" s="72" t="n">
        <v>1</v>
      </c>
      <c r="J49" s="72" t="inlineStr">
        <is>
          <t>72057594037934224</t>
        </is>
      </c>
      <c r="K49" t="inlineStr">
        <is>
          <t>N24/C1</t>
        </is>
      </c>
      <c r="L49" t="inlineStr">
        <is>
          <t>/composition/layers/25/clips/1/connect</t>
        </is>
      </c>
      <c r="M49" s="71" t="n">
        <v>1028</v>
      </c>
      <c r="N49" t="inlineStr">
        <is>
          <t>Button / value</t>
        </is>
      </c>
      <c r="O49" s="73" t="n"/>
      <c r="P49" s="73" t="n"/>
      <c r="R49" s="71" t="n">
        <v>128</v>
      </c>
      <c r="S49" s="71" t="n">
        <v>0</v>
      </c>
      <c r="T49" t="inlineStr">
        <is>
          <t>APC40 mkII</t>
        </is>
      </c>
      <c r="U49" t="inlineStr">
        <is>
          <t>/composition/layers/25/clips/1/connect</t>
        </is>
      </c>
      <c r="V49" t="inlineStr">
        <is>
          <t>/composition/layers/25/clips/1/connected</t>
        </is>
      </c>
      <c r="W49" t="inlineStr">
        <is>
          <t>/composition/layers/25/clips/1/connected</t>
        </is>
      </c>
      <c r="X49" t="inlineStr">
        <is>
          <t>Connected=0.35433070866141730404; Connected &amp; previewing=0.35433070866141730404; Disconnected=0; Empty=0; Off=0; Previewing=0</t>
        </is>
      </c>
    </row>
    <row r="50">
      <c r="A50" s="71" t="n">
        <v>46</v>
      </c>
      <c r="B50" s="72" t="inlineStr">
        <is>
          <t>1784313900014</t>
        </is>
      </c>
      <c r="C50" t="inlineStr">
        <is>
          <t>button_connect</t>
        </is>
      </c>
      <c r="D50" s="71" t="n">
        <v>14</v>
      </c>
      <c r="E50" t="inlineStr">
        <is>
          <t>G6-4</t>
        </is>
      </c>
      <c r="F50" t="inlineStr">
        <is>
          <t>Grid 4 Track 6</t>
        </is>
      </c>
      <c r="G50" t="inlineStr">
        <is>
          <t>note</t>
        </is>
      </c>
      <c r="H50" s="72" t="n">
        <v>13</v>
      </c>
      <c r="I50" s="72" t="n">
        <v>1</v>
      </c>
      <c r="J50" s="72" t="inlineStr">
        <is>
          <t>72057594037931408</t>
        </is>
      </c>
      <c r="K50" t="inlineStr">
        <is>
          <t>N13/C1</t>
        </is>
      </c>
      <c r="L50" t="inlineStr">
        <is>
          <t>/composition/layers/14/clips/1/connect</t>
        </is>
      </c>
      <c r="M50" s="71" t="n">
        <v>1028</v>
      </c>
      <c r="N50" t="inlineStr">
        <is>
          <t>Button / value</t>
        </is>
      </c>
      <c r="O50" s="73" t="n"/>
      <c r="P50" s="73" t="n"/>
      <c r="R50" s="71" t="n">
        <v>128</v>
      </c>
      <c r="S50" s="71" t="n">
        <v>0</v>
      </c>
      <c r="T50" t="inlineStr">
        <is>
          <t>APC40 mkII</t>
        </is>
      </c>
      <c r="U50" t="inlineStr">
        <is>
          <t>/composition/layers/14/clips/1/connect</t>
        </is>
      </c>
      <c r="V50" t="inlineStr">
        <is>
          <t>/composition/layers/14/clips/1/connected</t>
        </is>
      </c>
      <c r="W50" t="inlineStr">
        <is>
          <t>/composition/layers/14/clips/1/connected</t>
        </is>
      </c>
      <c r="X50" t="inlineStr">
        <is>
          <t>Connected=0.38582677165354328785; Connected &amp; previewing=0.38582677165354328785; Disconnected=0; Empty=0; Off=0; Previewing=0</t>
        </is>
      </c>
    </row>
    <row r="51">
      <c r="A51" s="71" t="n">
        <v>47</v>
      </c>
      <c r="B51" s="72" t="inlineStr">
        <is>
          <t>1784313900033</t>
        </is>
      </c>
      <c r="C51" t="inlineStr">
        <is>
          <t>button_connect</t>
        </is>
      </c>
      <c r="D51" s="71" t="n">
        <v>33</v>
      </c>
      <c r="E51" t="inlineStr">
        <is>
          <t>G1-1</t>
        </is>
      </c>
      <c r="F51" t="inlineStr">
        <is>
          <t>Grid 1 Track 1</t>
        </is>
      </c>
      <c r="G51" t="inlineStr">
        <is>
          <t>note</t>
        </is>
      </c>
      <c r="H51" s="72" t="n">
        <v>32</v>
      </c>
      <c r="I51" s="72" t="n">
        <v>1</v>
      </c>
      <c r="J51" s="72" t="inlineStr">
        <is>
          <t>72057594037936272</t>
        </is>
      </c>
      <c r="K51" t="inlineStr">
        <is>
          <t>N32/C1</t>
        </is>
      </c>
      <c r="L51" t="inlineStr">
        <is>
          <t>/composition/layers/33/clips/1/connect</t>
        </is>
      </c>
      <c r="M51" s="71" t="n">
        <v>1028</v>
      </c>
      <c r="N51" t="inlineStr">
        <is>
          <t>Button / value</t>
        </is>
      </c>
      <c r="O51" s="73" t="n"/>
      <c r="P51" s="73" t="n"/>
      <c r="R51" s="71" t="n">
        <v>128</v>
      </c>
      <c r="S51" s="71" t="n">
        <v>0</v>
      </c>
      <c r="T51" t="inlineStr">
        <is>
          <t>APC40 mkII</t>
        </is>
      </c>
      <c r="U51" t="inlineStr">
        <is>
          <t>/composition/layers/33/clips/1/connect</t>
        </is>
      </c>
      <c r="V51" t="inlineStr">
        <is>
          <t>/composition/layers/33/clips/1/connected</t>
        </is>
      </c>
      <c r="W51" t="inlineStr">
        <is>
          <t>/composition/layers/33/clips/1/connected</t>
        </is>
      </c>
      <c r="X51" t="inlineStr">
        <is>
          <t>Connected=0.35433070866141730404; Connected &amp; previewing=0.35433070866141730404; Disconnected=0; Empty=0; Off=0; Previewing=0</t>
        </is>
      </c>
    </row>
    <row r="52">
      <c r="A52" s="71" t="n">
        <v>48</v>
      </c>
      <c r="B52" s="72" t="inlineStr">
        <is>
          <t>1784313900063</t>
        </is>
      </c>
      <c r="C52" t="inlineStr">
        <is>
          <t>button_connect</t>
        </is>
      </c>
      <c r="D52" s="71" t="n">
        <v>63</v>
      </c>
      <c r="E52" t="inlineStr">
        <is>
          <t>●</t>
        </is>
      </c>
      <c r="F52" t="inlineStr">
        <is>
          <t>Record Arm 2</t>
        </is>
      </c>
      <c r="G52" t="inlineStr">
        <is>
          <t>note</t>
        </is>
      </c>
      <c r="H52" s="72" t="n">
        <v>48</v>
      </c>
      <c r="I52" s="72" t="n">
        <v>2</v>
      </c>
      <c r="J52" s="72" t="inlineStr">
        <is>
          <t>72057594037940369</t>
        </is>
      </c>
      <c r="K52" t="inlineStr">
        <is>
          <t>N48/C2</t>
        </is>
      </c>
      <c r="L52" t="inlineStr">
        <is>
          <t>/composition/layers/63/clips/1/connect</t>
        </is>
      </c>
      <c r="M52" s="71" t="n">
        <v>1028</v>
      </c>
      <c r="N52" t="inlineStr">
        <is>
          <t>Button / value</t>
        </is>
      </c>
      <c r="O52" s="73" t="n"/>
      <c r="P52" s="73" t="n"/>
      <c r="R52" s="71" t="n">
        <v>128</v>
      </c>
      <c r="S52" s="71" t="n">
        <v>0</v>
      </c>
      <c r="T52" t="inlineStr">
        <is>
          <t>APC40 mkII</t>
        </is>
      </c>
      <c r="U52" t="inlineStr">
        <is>
          <t>/composition/layers/63/clips/1/connect</t>
        </is>
      </c>
      <c r="V52" t="inlineStr">
        <is>
          <t>/composition/layers/63/clips/1/connected</t>
        </is>
      </c>
      <c r="W52" t="inlineStr">
        <is>
          <t>/composition/layers/63/clips/1/connected</t>
        </is>
      </c>
      <c r="X52" t="inlineStr">
        <is>
          <t>Connected=0.039370078740157479769; Connected &amp; previewing=0.039370078740157479769; Disconnected=0; Empty=0; Off=0; Previewing=0</t>
        </is>
      </c>
    </row>
    <row r="53">
      <c r="A53" s="71" t="n">
        <v>49</v>
      </c>
      <c r="B53" s="72" t="inlineStr">
        <is>
          <t>1784313900016</t>
        </is>
      </c>
      <c r="C53" t="inlineStr">
        <is>
          <t>button_connect</t>
        </is>
      </c>
      <c r="D53" s="71" t="n">
        <v>16</v>
      </c>
      <c r="E53" t="inlineStr">
        <is>
          <t>G8-4</t>
        </is>
      </c>
      <c r="F53" t="inlineStr">
        <is>
          <t>Grid 4 Track 8</t>
        </is>
      </c>
      <c r="G53" t="inlineStr">
        <is>
          <t>note</t>
        </is>
      </c>
      <c r="H53" s="72" t="n">
        <v>15</v>
      </c>
      <c r="I53" s="72" t="n">
        <v>1</v>
      </c>
      <c r="J53" s="72" t="inlineStr">
        <is>
          <t>72057594037931920</t>
        </is>
      </c>
      <c r="K53" t="inlineStr">
        <is>
          <t>N15/C1</t>
        </is>
      </c>
      <c r="L53" t="inlineStr">
        <is>
          <t>/composition/layers/16/clips/1/connect</t>
        </is>
      </c>
      <c r="M53" s="71" t="n">
        <v>1028</v>
      </c>
      <c r="N53" t="inlineStr">
        <is>
          <t>Button / value</t>
        </is>
      </c>
      <c r="O53" s="73" t="n"/>
      <c r="P53" s="73" t="n"/>
      <c r="R53" s="71" t="n">
        <v>128</v>
      </c>
      <c r="S53" s="71" t="n">
        <v>0</v>
      </c>
      <c r="T53" t="inlineStr">
        <is>
          <t>APC40 mkII</t>
        </is>
      </c>
      <c r="U53" t="inlineStr">
        <is>
          <t>/composition/layers/16/clips/1/connect</t>
        </is>
      </c>
      <c r="V53" t="inlineStr">
        <is>
          <t>/composition/layers/16/clips/1/connected</t>
        </is>
      </c>
      <c r="W53" t="inlineStr">
        <is>
          <t>/composition/layers/16/clips/1/connected</t>
        </is>
      </c>
      <c r="X53" t="inlineStr">
        <is>
          <t>Connected=0.023622047244094487861; Connected &amp; previewing=0.023622047244094487861; Disconnected=0; Empty=0; Off=0; Previewing=0</t>
        </is>
      </c>
    </row>
    <row r="54">
      <c r="A54" s="71" t="n">
        <v>50</v>
      </c>
      <c r="B54" s="72" t="inlineStr">
        <is>
          <t>1784313900029</t>
        </is>
      </c>
      <c r="C54" t="inlineStr">
        <is>
          <t>button_connect</t>
        </is>
      </c>
      <c r="D54" s="71" t="n">
        <v>29</v>
      </c>
      <c r="E54" t="inlineStr">
        <is>
          <t>G5-2</t>
        </is>
      </c>
      <c r="F54" t="inlineStr">
        <is>
          <t>Grid 2 Track 5</t>
        </is>
      </c>
      <c r="G54" t="inlineStr">
        <is>
          <t>note</t>
        </is>
      </c>
      <c r="H54" s="72" t="n">
        <v>28</v>
      </c>
      <c r="I54" s="72" t="n">
        <v>1</v>
      </c>
      <c r="J54" s="72" t="inlineStr">
        <is>
          <t>72057594037935248</t>
        </is>
      </c>
      <c r="K54" t="inlineStr">
        <is>
          <t>N28/C1</t>
        </is>
      </c>
      <c r="L54" t="inlineStr">
        <is>
          <t>/composition/layers/29/clips/1/connect</t>
        </is>
      </c>
      <c r="M54" s="71" t="n">
        <v>1028</v>
      </c>
      <c r="N54" t="inlineStr">
        <is>
          <t>Button / value</t>
        </is>
      </c>
      <c r="O54" s="73" t="n"/>
      <c r="P54" s="73" t="n"/>
      <c r="R54" s="71" t="n">
        <v>128</v>
      </c>
      <c r="S54" s="71" t="n">
        <v>0</v>
      </c>
      <c r="T54" t="inlineStr">
        <is>
          <t>APC40 mkII</t>
        </is>
      </c>
      <c r="U54" t="inlineStr">
        <is>
          <t>/composition/layers/29/clips/1/connect</t>
        </is>
      </c>
      <c r="V54" t="inlineStr">
        <is>
          <t>/composition/layers/29/clips/1/connected</t>
        </is>
      </c>
      <c r="W54" t="inlineStr">
        <is>
          <t>/composition/layers/29/clips/1/connected</t>
        </is>
      </c>
      <c r="X54" t="inlineStr">
        <is>
          <t>Connected=0.070866141732283463583; Connected &amp; previewing=0.070866141732283463583; Disconnected=0; Empty=0; Off=0; Previewing=0</t>
        </is>
      </c>
    </row>
    <row r="55">
      <c r="A55" s="71" t="n">
        <v>51</v>
      </c>
      <c r="B55" s="72" t="inlineStr">
        <is>
          <t>1784313900020</t>
        </is>
      </c>
      <c r="C55" t="inlineStr">
        <is>
          <t>button_connect</t>
        </is>
      </c>
      <c r="D55" s="71" t="n">
        <v>20</v>
      </c>
      <c r="E55" t="inlineStr">
        <is>
          <t>G4-3</t>
        </is>
      </c>
      <c r="F55" t="inlineStr">
        <is>
          <t>Grid 3 Track 4</t>
        </is>
      </c>
      <c r="G55" t="inlineStr">
        <is>
          <t>note</t>
        </is>
      </c>
      <c r="H55" s="72" t="n">
        <v>19</v>
      </c>
      <c r="I55" s="72" t="n">
        <v>1</v>
      </c>
      <c r="J55" s="72" t="inlineStr">
        <is>
          <t>72057594037932944</t>
        </is>
      </c>
      <c r="K55" t="inlineStr">
        <is>
          <t>N19/C1</t>
        </is>
      </c>
      <c r="L55" t="inlineStr">
        <is>
          <t>/composition/layers/20/clips/1/connect</t>
        </is>
      </c>
      <c r="M55" s="71" t="n">
        <v>1028</v>
      </c>
      <c r="N55" t="inlineStr">
        <is>
          <t>Button / value</t>
        </is>
      </c>
      <c r="O55" s="73" t="n"/>
      <c r="P55" s="73" t="n"/>
      <c r="R55" s="71" t="n">
        <v>128</v>
      </c>
      <c r="S55" s="71" t="n">
        <v>0</v>
      </c>
      <c r="T55" t="inlineStr">
        <is>
          <t>APC40 mkII</t>
        </is>
      </c>
      <c r="U55" t="inlineStr">
        <is>
          <t>/composition/layers/20/clips/1/connect</t>
        </is>
      </c>
      <c r="V55" t="inlineStr">
        <is>
          <t>/composition/layers/20/clips/1/connected</t>
        </is>
      </c>
      <c r="W55" t="inlineStr">
        <is>
          <t>/composition/layers/20/clips/1/connected</t>
        </is>
      </c>
      <c r="X55" t="inlineStr">
        <is>
          <t>Connected=0.039370078740157479769; Connected &amp; previewing=0.039370078740157479769; Disconnected=0; Empty=0; Off=0; Previewing=0</t>
        </is>
      </c>
    </row>
    <row r="56">
      <c r="A56" s="71" t="n">
        <v>52</v>
      </c>
      <c r="B56" s="72" t="inlineStr">
        <is>
          <t>1784313900036</t>
        </is>
      </c>
      <c r="C56" t="inlineStr">
        <is>
          <t>button_connect</t>
        </is>
      </c>
      <c r="D56" s="71" t="n">
        <v>36</v>
      </c>
      <c r="E56" t="inlineStr">
        <is>
          <t>G4-1</t>
        </is>
      </c>
      <c r="F56" t="inlineStr">
        <is>
          <t>Grid 1 Track 4</t>
        </is>
      </c>
      <c r="G56" t="inlineStr">
        <is>
          <t>note</t>
        </is>
      </c>
      <c r="H56" s="72" t="n">
        <v>35</v>
      </c>
      <c r="I56" s="72" t="n">
        <v>1</v>
      </c>
      <c r="J56" s="72" t="inlineStr">
        <is>
          <t>72057594037937040</t>
        </is>
      </c>
      <c r="K56" t="inlineStr">
        <is>
          <t>N35/C1</t>
        </is>
      </c>
      <c r="L56" t="inlineStr">
        <is>
          <t>/composition/layers/36/clips/1/connect</t>
        </is>
      </c>
      <c r="M56" s="71" t="n">
        <v>1028</v>
      </c>
      <c r="N56" t="inlineStr">
        <is>
          <t>Button / value</t>
        </is>
      </c>
      <c r="O56" s="73" t="n"/>
      <c r="P56" s="73" t="n"/>
      <c r="R56" s="71" t="n">
        <v>128</v>
      </c>
      <c r="S56" s="71" t="n">
        <v>0</v>
      </c>
      <c r="T56" t="inlineStr">
        <is>
          <t>APC40 mkII</t>
        </is>
      </c>
      <c r="U56" t="inlineStr">
        <is>
          <t>/composition/layers/36/clips/1/connect</t>
        </is>
      </c>
      <c r="V56" t="inlineStr">
        <is>
          <t>/composition/layers/36/clips/1/connected</t>
        </is>
      </c>
      <c r="W56" t="inlineStr">
        <is>
          <t>/composition/layers/36/clips/1/connected</t>
        </is>
      </c>
      <c r="X56" t="inlineStr">
        <is>
          <t>Connected=0.039370078740157479769; Connected &amp; previewing=0.039370078740157479769; Disconnected=0; Empty=0; Off=0; Previewing=0</t>
        </is>
      </c>
    </row>
    <row r="57">
      <c r="A57" s="71" t="n">
        <v>53</v>
      </c>
      <c r="B57" s="72" t="inlineStr">
        <is>
          <t>1784313900006</t>
        </is>
      </c>
      <c r="C57" t="inlineStr">
        <is>
          <t>button_connect</t>
        </is>
      </c>
      <c r="D57" s="71" t="n">
        <v>6</v>
      </c>
      <c r="E57" t="inlineStr">
        <is>
          <t>G6-5</t>
        </is>
      </c>
      <c r="F57" t="inlineStr">
        <is>
          <t>Grid 5 Track 6</t>
        </is>
      </c>
      <c r="G57" t="inlineStr">
        <is>
          <t>note</t>
        </is>
      </c>
      <c r="H57" s="72" t="n">
        <v>5</v>
      </c>
      <c r="I57" s="72" t="n">
        <v>1</v>
      </c>
      <c r="J57" s="72" t="inlineStr">
        <is>
          <t>72057594037929360</t>
        </is>
      </c>
      <c r="K57" t="inlineStr">
        <is>
          <t>N5/C1</t>
        </is>
      </c>
      <c r="L57" t="inlineStr">
        <is>
          <t>/composition/layers/6/clips/1/connect</t>
        </is>
      </c>
      <c r="M57" s="71" t="n">
        <v>1028</v>
      </c>
      <c r="N57" t="inlineStr">
        <is>
          <t>Button / value</t>
        </is>
      </c>
      <c r="O57" s="73" t="n"/>
      <c r="P57" s="73" t="n"/>
      <c r="R57" s="71" t="n">
        <v>128</v>
      </c>
      <c r="S57" s="71" t="n">
        <v>0</v>
      </c>
      <c r="T57" t="inlineStr">
        <is>
          <t>APC40 mkII</t>
        </is>
      </c>
      <c r="U57" t="inlineStr">
        <is>
          <t>/composition/layers/6/clips/1/connect</t>
        </is>
      </c>
      <c r="V57" t="inlineStr">
        <is>
          <t>/composition/layers/6/clips/1/connected</t>
        </is>
      </c>
      <c r="W57" t="inlineStr">
        <is>
          <t>/composition/layers/6/clips/1/connected</t>
        </is>
      </c>
      <c r="X57" t="inlineStr">
        <is>
          <t>Connected=0.38582677165354328785; Connected &amp; previewing=0.38582677165354328785; Disconnected=0; Empty=0; Off=0; Previewing=0</t>
        </is>
      </c>
    </row>
    <row r="58">
      <c r="A58" s="71" t="n">
        <v>54</v>
      </c>
      <c r="B58" s="72" t="inlineStr">
        <is>
          <t>1784313900035</t>
        </is>
      </c>
      <c r="C58" t="inlineStr">
        <is>
          <t>button_connect</t>
        </is>
      </c>
      <c r="D58" s="71" t="n">
        <v>35</v>
      </c>
      <c r="E58" t="inlineStr">
        <is>
          <t>G3-1</t>
        </is>
      </c>
      <c r="F58" t="inlineStr">
        <is>
          <t>Grid 1 Track 3</t>
        </is>
      </c>
      <c r="G58" t="inlineStr">
        <is>
          <t>note</t>
        </is>
      </c>
      <c r="H58" s="72" t="n">
        <v>34</v>
      </c>
      <c r="I58" s="72" t="n">
        <v>1</v>
      </c>
      <c r="J58" s="72" t="inlineStr">
        <is>
          <t>72057594037936784</t>
        </is>
      </c>
      <c r="K58" t="inlineStr">
        <is>
          <t>N34/C1</t>
        </is>
      </c>
      <c r="L58" t="inlineStr">
        <is>
          <t>/composition/layers/35/clips/1/connect</t>
        </is>
      </c>
      <c r="M58" s="71" t="n">
        <v>1028</v>
      </c>
      <c r="N58" t="inlineStr">
        <is>
          <t>Button / value</t>
        </is>
      </c>
      <c r="O58" s="73" t="n"/>
      <c r="P58" s="73" t="n"/>
      <c r="R58" s="71" t="n">
        <v>128</v>
      </c>
      <c r="S58" s="71" t="n">
        <v>0</v>
      </c>
      <c r="T58" t="inlineStr">
        <is>
          <t>APC40 mkII</t>
        </is>
      </c>
      <c r="U58" t="inlineStr">
        <is>
          <t>/composition/layers/35/clips/1/connect</t>
        </is>
      </c>
      <c r="V58" t="inlineStr">
        <is>
          <t>/composition/layers/35/clips/1/connected</t>
        </is>
      </c>
      <c r="W58" t="inlineStr">
        <is>
          <t>/composition/layers/35/clips/1/connected</t>
        </is>
      </c>
      <c r="X58" t="inlineStr">
        <is>
          <t>Connected=0.16535433070866142891; Connected &amp; previewing=0.16535433070866142891; Disconnected=0; Empty=0; Off=0; Previewing=0</t>
        </is>
      </c>
    </row>
    <row r="59">
      <c r="A59" s="71" t="n">
        <v>55</v>
      </c>
      <c r="B59" s="72" t="inlineStr">
        <is>
          <t>1784313900008</t>
        </is>
      </c>
      <c r="C59" t="inlineStr">
        <is>
          <t>button_connect</t>
        </is>
      </c>
      <c r="D59" s="71" t="n">
        <v>8</v>
      </c>
      <c r="E59" t="inlineStr">
        <is>
          <t>G8-5</t>
        </is>
      </c>
      <c r="F59" t="inlineStr">
        <is>
          <t>Grid 5 Track 8</t>
        </is>
      </c>
      <c r="G59" t="inlineStr">
        <is>
          <t>note</t>
        </is>
      </c>
      <c r="H59" s="72" t="n">
        <v>7</v>
      </c>
      <c r="I59" s="72" t="n">
        <v>1</v>
      </c>
      <c r="J59" s="72" t="inlineStr">
        <is>
          <t>72057594037929872</t>
        </is>
      </c>
      <c r="K59" t="inlineStr">
        <is>
          <t>N7/C1</t>
        </is>
      </c>
      <c r="L59" t="inlineStr">
        <is>
          <t>/composition/layers/8/clips/1/connect</t>
        </is>
      </c>
      <c r="M59" s="71" t="n">
        <v>1028</v>
      </c>
      <c r="N59" t="inlineStr">
        <is>
          <t>Button / value</t>
        </is>
      </c>
      <c r="O59" s="73" t="n"/>
      <c r="P59" s="73" t="n"/>
      <c r="R59" s="71" t="n">
        <v>128</v>
      </c>
      <c r="S59" s="71" t="n">
        <v>0</v>
      </c>
      <c r="T59" t="inlineStr">
        <is>
          <t>APC40 mkII</t>
        </is>
      </c>
      <c r="U59" t="inlineStr">
        <is>
          <t>/composition/layers/8/clips/1/connect</t>
        </is>
      </c>
      <c r="V59" t="inlineStr">
        <is>
          <t>/composition/layers/8/clips/1/connected</t>
        </is>
      </c>
      <c r="W59" t="inlineStr">
        <is>
          <t>/composition/layers/8/clips/1/connected</t>
        </is>
      </c>
      <c r="X59" t="inlineStr">
        <is>
          <t>Connected=0.023622047244094487861; Connected &amp; previewing=0.023622047244094487861; Disconnected=0; Empty=0; Off=0; Previewing=0</t>
        </is>
      </c>
    </row>
    <row r="60">
      <c r="A60" s="71" t="n">
        <v>56</v>
      </c>
      <c r="B60" s="72" t="inlineStr">
        <is>
          <t>1784313900043</t>
        </is>
      </c>
      <c r="C60" t="inlineStr">
        <is>
          <t>button_connect</t>
        </is>
      </c>
      <c r="D60" s="71" t="n">
        <v>43</v>
      </c>
      <c r="E60" t="inlineStr">
        <is>
          <t>SCENE3</t>
        </is>
      </c>
      <c r="F60" t="inlineStr">
        <is>
          <t>Scene Launch 3</t>
        </is>
      </c>
      <c r="G60" t="inlineStr">
        <is>
          <t>note</t>
        </is>
      </c>
      <c r="H60" s="72" t="n">
        <v>84</v>
      </c>
      <c r="I60" s="72" t="n">
        <v>1</v>
      </c>
      <c r="J60" s="72" t="inlineStr">
        <is>
          <t>72057594037949584</t>
        </is>
      </c>
      <c r="K60" t="inlineStr">
        <is>
          <t>N84/C1</t>
        </is>
      </c>
      <c r="L60" t="inlineStr">
        <is>
          <t>/composition/layers/43/clips/1/connect</t>
        </is>
      </c>
      <c r="M60" s="71" t="n">
        <v>1028</v>
      </c>
      <c r="N60" t="inlineStr">
        <is>
          <t>Button / value</t>
        </is>
      </c>
      <c r="O60" s="73" t="n"/>
      <c r="P60" s="73" t="n"/>
      <c r="R60" s="71" t="n">
        <v>128</v>
      </c>
      <c r="S60" s="71" t="n">
        <v>0</v>
      </c>
      <c r="T60" t="inlineStr">
        <is>
          <t>APC40 mkII</t>
        </is>
      </c>
      <c r="U60" t="inlineStr">
        <is>
          <t>/composition/layers/43/clips/1/connect</t>
        </is>
      </c>
      <c r="V60" t="inlineStr">
        <is>
          <t>/composition/layers/43/clips/1/connected</t>
        </is>
      </c>
      <c r="W60" t="inlineStr">
        <is>
          <t>/composition/layers/43/clips/1/connected</t>
        </is>
      </c>
      <c r="X60" t="inlineStr">
        <is>
          <t>Connected=0.16535433070866142891; Connected &amp; previewing=0.16535433070866142891; Disconnected=0; Empty=0; Off=0; Previewing=0</t>
        </is>
      </c>
    </row>
    <row r="61">
      <c r="A61" s="71" t="n">
        <v>57</v>
      </c>
      <c r="B61" s="72" t="inlineStr">
        <is>
          <t>1784313900058</t>
        </is>
      </c>
      <c r="C61" t="inlineStr">
        <is>
          <t>button_connect</t>
        </is>
      </c>
      <c r="D61" s="71" t="n">
        <v>58</v>
      </c>
      <c r="E61" t="inlineStr">
        <is>
          <t>SEL5</t>
        </is>
      </c>
      <c r="F61" t="inlineStr">
        <is>
          <t>Track Select 5</t>
        </is>
      </c>
      <c r="G61" t="inlineStr">
        <is>
          <t>note</t>
        </is>
      </c>
      <c r="H61" s="72" t="n">
        <v>51</v>
      </c>
      <c r="I61" s="72" t="n">
        <v>5</v>
      </c>
      <c r="J61" s="72" t="inlineStr">
        <is>
          <t>72057594037941140</t>
        </is>
      </c>
      <c r="K61" t="inlineStr">
        <is>
          <t>N51/C5</t>
        </is>
      </c>
      <c r="L61" t="inlineStr">
        <is>
          <t>/composition/layers/58/clips/1/connect</t>
        </is>
      </c>
      <c r="M61" s="71" t="n">
        <v>1028</v>
      </c>
      <c r="N61" t="inlineStr">
        <is>
          <t>Button / value</t>
        </is>
      </c>
      <c r="O61" s="73" t="n"/>
      <c r="P61" s="73" t="n"/>
      <c r="R61" s="71" t="n">
        <v>128</v>
      </c>
      <c r="S61" s="71" t="n">
        <v>0</v>
      </c>
      <c r="T61" t="inlineStr">
        <is>
          <t>APC40 mkII</t>
        </is>
      </c>
      <c r="U61" t="inlineStr">
        <is>
          <t>/composition/layers/58/clips/1/connect</t>
        </is>
      </c>
      <c r="V61" t="inlineStr">
        <is>
          <t>/composition/layers/58/clips/1/connected</t>
        </is>
      </c>
      <c r="W61" t="inlineStr">
        <is>
          <t>/composition/layers/58/clips/1/connected</t>
        </is>
      </c>
      <c r="X61" t="inlineStr">
        <is>
          <t>Connected=0.35433070866141730404; Connected &amp; previewing=0.35433070866141730404; Disconnected=0; Empty=0; Off=0; Previewing=0</t>
        </is>
      </c>
    </row>
    <row r="62">
      <c r="A62" s="71" t="n">
        <v>58</v>
      </c>
      <c r="B62" s="72" t="inlineStr">
        <is>
          <t>1784313900059</t>
        </is>
      </c>
      <c r="C62" t="inlineStr">
        <is>
          <t>button_connect</t>
        </is>
      </c>
      <c r="D62" s="71" t="n">
        <v>59</v>
      </c>
      <c r="E62" t="inlineStr">
        <is>
          <t>SEL6</t>
        </is>
      </c>
      <c r="F62" t="inlineStr">
        <is>
          <t>Track Select 6</t>
        </is>
      </c>
      <c r="G62" t="inlineStr">
        <is>
          <t>note</t>
        </is>
      </c>
      <c r="H62" s="72" t="n">
        <v>51</v>
      </c>
      <c r="I62" s="72" t="n">
        <v>6</v>
      </c>
      <c r="J62" s="72" t="inlineStr">
        <is>
          <t>72057594037941141</t>
        </is>
      </c>
      <c r="K62" t="inlineStr">
        <is>
          <t>N51/C6</t>
        </is>
      </c>
      <c r="L62" t="inlineStr">
        <is>
          <t>/composition/layers/59/clips/1/connect</t>
        </is>
      </c>
      <c r="M62" s="71" t="n">
        <v>1028</v>
      </c>
      <c r="N62" t="inlineStr">
        <is>
          <t>Button / value</t>
        </is>
      </c>
      <c r="O62" s="73" t="n"/>
      <c r="P62" s="73" t="n"/>
      <c r="R62" s="71" t="n">
        <v>128</v>
      </c>
      <c r="S62" s="71" t="n">
        <v>0</v>
      </c>
      <c r="T62" t="inlineStr">
        <is>
          <t>APC40 mkII</t>
        </is>
      </c>
      <c r="U62" t="inlineStr">
        <is>
          <t>/composition/layers/59/clips/1/connect</t>
        </is>
      </c>
      <c r="V62" t="inlineStr">
        <is>
          <t>/composition/layers/59/clips/1/connected</t>
        </is>
      </c>
      <c r="W62" t="inlineStr">
        <is>
          <t>/composition/layers/59/clips/1/connected</t>
        </is>
      </c>
      <c r="X62" t="inlineStr">
        <is>
          <t>Connected=0.35433070866141730404; Connected &amp; previewing=0.35433070866141730404; Disconnected=0; Empty=0; Off=0; Previewing=0</t>
        </is>
      </c>
    </row>
    <row r="63">
      <c r="A63" s="71" t="n">
        <v>59</v>
      </c>
      <c r="B63" s="72" t="inlineStr">
        <is>
          <t>1784313900053</t>
        </is>
      </c>
      <c r="C63" t="inlineStr">
        <is>
          <t>button_connect</t>
        </is>
      </c>
      <c r="D63" s="71" t="n">
        <v>53</v>
      </c>
      <c r="E63" t="inlineStr">
        <is>
          <t>STOP8</t>
        </is>
      </c>
      <c r="F63" t="inlineStr">
        <is>
          <t>Clip Stop 8</t>
        </is>
      </c>
      <c r="G63" t="inlineStr">
        <is>
          <t>note</t>
        </is>
      </c>
      <c r="H63" s="72" t="n">
        <v>52</v>
      </c>
      <c r="I63" s="72" t="n">
        <v>8</v>
      </c>
      <c r="J63" s="72" t="inlineStr">
        <is>
          <t>72057594037941399</t>
        </is>
      </c>
      <c r="K63" t="inlineStr">
        <is>
          <t>N52/C8</t>
        </is>
      </c>
      <c r="L63" t="inlineStr">
        <is>
          <t>/composition/layers/53/clips/1/connect</t>
        </is>
      </c>
      <c r="M63" s="71" t="n">
        <v>1028</v>
      </c>
      <c r="N63" t="inlineStr">
        <is>
          <t>Button / value</t>
        </is>
      </c>
      <c r="O63" s="73" t="n"/>
      <c r="P63" s="73" t="n"/>
      <c r="R63" s="71" t="n">
        <v>128</v>
      </c>
      <c r="S63" s="71" t="n">
        <v>0</v>
      </c>
      <c r="T63" t="inlineStr">
        <is>
          <t>APC40 mkII</t>
        </is>
      </c>
      <c r="U63" t="inlineStr">
        <is>
          <t>/composition/layers/53/clips/1/connect</t>
        </is>
      </c>
      <c r="V63" t="inlineStr">
        <is>
          <t>/composition/layers/53/clips/1/connected</t>
        </is>
      </c>
      <c r="W63" t="inlineStr">
        <is>
          <t>/composition/layers/53/clips/1/connected</t>
        </is>
      </c>
      <c r="X63" t="inlineStr">
        <is>
          <t>Connected=0.039370078740157479769; Connected &amp; previewing=0.039370078740157479769; Disconnected=0; Empty=0; Off=0; Previewing=0</t>
        </is>
      </c>
    </row>
    <row r="64">
      <c r="A64" s="71" t="n">
        <v>60</v>
      </c>
      <c r="B64" s="72" t="inlineStr">
        <is>
          <t>1784313900052</t>
        </is>
      </c>
      <c r="C64" t="inlineStr">
        <is>
          <t>button_connect</t>
        </is>
      </c>
      <c r="D64" s="71" t="n">
        <v>52</v>
      </c>
      <c r="E64" t="inlineStr">
        <is>
          <t>STOP7</t>
        </is>
      </c>
      <c r="F64" t="inlineStr">
        <is>
          <t>Clip Stop 7</t>
        </is>
      </c>
      <c r="G64" t="inlineStr">
        <is>
          <t>note</t>
        </is>
      </c>
      <c r="H64" s="72" t="n">
        <v>52</v>
      </c>
      <c r="I64" s="72" t="n">
        <v>7</v>
      </c>
      <c r="J64" s="72" t="inlineStr">
        <is>
          <t>72057594037941398</t>
        </is>
      </c>
      <c r="K64" t="inlineStr">
        <is>
          <t>N52/C7</t>
        </is>
      </c>
      <c r="L64" t="inlineStr">
        <is>
          <t>/composition/layers/52/clips/1/connect</t>
        </is>
      </c>
      <c r="M64" s="71" t="n">
        <v>1028</v>
      </c>
      <c r="N64" t="inlineStr">
        <is>
          <t>Button / value</t>
        </is>
      </c>
      <c r="O64" s="73" t="n"/>
      <c r="P64" s="73" t="n"/>
      <c r="R64" s="71" t="n">
        <v>128</v>
      </c>
      <c r="S64" s="71" t="n">
        <v>0</v>
      </c>
      <c r="T64" t="inlineStr">
        <is>
          <t>APC40 mkII</t>
        </is>
      </c>
      <c r="U64" t="inlineStr">
        <is>
          <t>/composition/layers/52/clips/1/connect</t>
        </is>
      </c>
      <c r="V64" t="inlineStr">
        <is>
          <t>/composition/layers/52/clips/1/connected</t>
        </is>
      </c>
      <c r="W64" t="inlineStr">
        <is>
          <t>/composition/layers/52/clips/1/connected</t>
        </is>
      </c>
      <c r="X64" t="inlineStr">
        <is>
          <t>Connected=0.039370078740157479769; Connected &amp; previewing=0.039370078740157479769; Disconnected=0; Empty=0; Off=0; Previewing=0</t>
        </is>
      </c>
    </row>
    <row r="65">
      <c r="A65" s="71" t="n">
        <v>61</v>
      </c>
      <c r="B65" s="72" t="inlineStr">
        <is>
          <t>1784313900060</t>
        </is>
      </c>
      <c r="C65" t="inlineStr">
        <is>
          <t>button_connect</t>
        </is>
      </c>
      <c r="D65" s="71" t="n">
        <v>60</v>
      </c>
      <c r="E65" t="inlineStr">
        <is>
          <t>SEL7</t>
        </is>
      </c>
      <c r="F65" t="inlineStr">
        <is>
          <t>Track Select 7</t>
        </is>
      </c>
      <c r="G65" t="inlineStr">
        <is>
          <t>note</t>
        </is>
      </c>
      <c r="H65" s="72" t="n">
        <v>51</v>
      </c>
      <c r="I65" s="72" t="n">
        <v>7</v>
      </c>
      <c r="J65" s="72" t="inlineStr">
        <is>
          <t>72057594037941142</t>
        </is>
      </c>
      <c r="K65" t="inlineStr">
        <is>
          <t>N51/C7</t>
        </is>
      </c>
      <c r="L65" t="inlineStr">
        <is>
          <t>/composition/layers/60/clips/1/connect</t>
        </is>
      </c>
      <c r="M65" s="71" t="n">
        <v>1028</v>
      </c>
      <c r="N65" t="inlineStr">
        <is>
          <t>Button / value</t>
        </is>
      </c>
      <c r="O65" s="73" t="n"/>
      <c r="P65" s="73" t="n"/>
      <c r="R65" s="71" t="n">
        <v>128</v>
      </c>
      <c r="S65" s="71" t="n">
        <v>0</v>
      </c>
      <c r="T65" t="inlineStr">
        <is>
          <t>APC40 mkII</t>
        </is>
      </c>
      <c r="U65" t="inlineStr">
        <is>
          <t>/composition/layers/60/clips/1/connect</t>
        </is>
      </c>
      <c r="V65" t="inlineStr">
        <is>
          <t>/composition/layers/60/clips/1/connected</t>
        </is>
      </c>
      <c r="W65" t="inlineStr">
        <is>
          <t>/composition/layers/60/clips/1/connected</t>
        </is>
      </c>
      <c r="X65" t="inlineStr">
        <is>
          <t>Connected=0.35433070866141730404; Connected &amp; previewing=0.35433070866141730404; Disconnected=0; Empty=0; Off=0; Previewing=0</t>
        </is>
      </c>
    </row>
    <row r="66">
      <c r="A66" s="71" t="n">
        <v>62</v>
      </c>
      <c r="B66" s="72" t="inlineStr">
        <is>
          <t>1784313900139</t>
        </is>
      </c>
      <c r="C66" t="inlineStr">
        <is>
          <t>button_connect</t>
        </is>
      </c>
      <c r="D66" s="71" t="n">
        <v>139</v>
      </c>
      <c r="E66" t="inlineStr">
        <is>
          <t>SENDS</t>
        </is>
      </c>
      <c r="F66" t="inlineStr">
        <is>
          <t>Sends Mode</t>
        </is>
      </c>
      <c r="G66" t="inlineStr">
        <is>
          <t>note</t>
        </is>
      </c>
      <c r="H66" s="72" t="n">
        <v>88</v>
      </c>
      <c r="I66" s="72" t="n">
        <v>1</v>
      </c>
      <c r="J66" s="72" t="inlineStr">
        <is>
          <t>72057594037950608</t>
        </is>
      </c>
      <c r="K66" t="inlineStr">
        <is>
          <t>N88/C1</t>
        </is>
      </c>
      <c r="L66" t="inlineStr">
        <is>
          <t>/composition/layers/139/clips/1/connect</t>
        </is>
      </c>
      <c r="M66" s="71" t="n">
        <v>1028</v>
      </c>
      <c r="N66" t="inlineStr">
        <is>
          <t>Button / value</t>
        </is>
      </c>
      <c r="O66" s="73" t="n"/>
      <c r="P66" s="73" t="n"/>
      <c r="R66" s="71" t="n">
        <v>128</v>
      </c>
      <c r="S66" s="71" t="n">
        <v>0</v>
      </c>
      <c r="T66" t="inlineStr">
        <is>
          <t>APC40 mkII</t>
        </is>
      </c>
      <c r="U66" t="inlineStr">
        <is>
          <t>/composition/layers/139/clips/1/connect</t>
        </is>
      </c>
      <c r="V66" t="inlineStr">
        <is>
          <t>/composition/layers/139/clips/1/connected</t>
        </is>
      </c>
      <c r="W66" t="inlineStr">
        <is>
          <t>/composition/layers/139/clips/1/connected</t>
        </is>
      </c>
      <c r="X66" t="inlineStr">
        <is>
          <t>Connected=0.38582677165354328785; Connected &amp; previewing=0.38582677165354328785; Disconnected=0; Empty=0; Off=0; Previewing=0</t>
        </is>
      </c>
    </row>
    <row r="67">
      <c r="A67" s="71" t="n">
        <v>63</v>
      </c>
      <c r="B67" s="72" t="inlineStr">
        <is>
          <t>1784313900078</t>
        </is>
      </c>
      <c r="C67" t="inlineStr">
        <is>
          <t>button_connect</t>
        </is>
      </c>
      <c r="D67" s="71" t="n">
        <v>78</v>
      </c>
      <c r="E67" t="inlineStr">
        <is>
          <t>1</t>
        </is>
      </c>
      <c r="F67" t="inlineStr">
        <is>
          <t>Activator 1</t>
        </is>
      </c>
      <c r="G67" t="inlineStr">
        <is>
          <t>note</t>
        </is>
      </c>
      <c r="H67" s="72" t="n">
        <v>50</v>
      </c>
      <c r="I67" s="72" t="n">
        <v>1</v>
      </c>
      <c r="J67" s="72" t="inlineStr">
        <is>
          <t>72057594037940880</t>
        </is>
      </c>
      <c r="K67" t="inlineStr">
        <is>
          <t>N50/C1</t>
        </is>
      </c>
      <c r="L67" t="inlineStr">
        <is>
          <t>/composition/layers/78/clips/1/connect</t>
        </is>
      </c>
      <c r="M67" s="71" t="n">
        <v>1028</v>
      </c>
      <c r="N67" t="inlineStr">
        <is>
          <t>Button / value</t>
        </is>
      </c>
      <c r="O67" s="73" t="n"/>
      <c r="P67" s="73" t="n"/>
      <c r="R67" s="71" t="n">
        <v>128</v>
      </c>
      <c r="S67" s="71" t="n">
        <v>0</v>
      </c>
      <c r="T67" t="inlineStr">
        <is>
          <t>APC40 mkII</t>
        </is>
      </c>
      <c r="U67" t="inlineStr">
        <is>
          <t>/composition/layers/78/clips/1/connect</t>
        </is>
      </c>
      <c r="V67" t="inlineStr">
        <is>
          <t>/composition/layers/78/clips/1/connected</t>
        </is>
      </c>
      <c r="W67" t="inlineStr">
        <is>
          <t>/composition/layers/78/clips/1/connected</t>
        </is>
      </c>
      <c r="X67" t="inlineStr">
        <is>
          <t>Connected=0.16535433070866142891; Connected &amp; previewing=0.16535433070866142891; Disconnected=0; Empty=0; Off=0; Previewing=0</t>
        </is>
      </c>
    </row>
    <row r="68">
      <c r="A68" s="71" t="n">
        <v>64</v>
      </c>
      <c r="B68" s="72" t="inlineStr">
        <is>
          <t>1784313900135</t>
        </is>
      </c>
      <c r="C68" t="inlineStr">
        <is>
          <t>button_connect</t>
        </is>
      </c>
      <c r="D68" s="71" t="n">
        <v>135</v>
      </c>
      <c r="E68" t="inlineStr">
        <is>
          <t>ON/OFF</t>
        </is>
      </c>
      <c r="F68" t="inlineStr">
        <is>
          <t>Device On Off</t>
        </is>
      </c>
      <c r="G68" t="inlineStr">
        <is>
          <t>note</t>
        </is>
      </c>
      <c r="H68" s="72" t="n">
        <v>62</v>
      </c>
      <c r="I68" s="72" t="n">
        <v>1</v>
      </c>
      <c r="J68" s="72" t="inlineStr">
        <is>
          <t>72057594037943952</t>
        </is>
      </c>
      <c r="K68" t="inlineStr">
        <is>
          <t>N62/C1</t>
        </is>
      </c>
      <c r="L68" t="inlineStr">
        <is>
          <t>/composition/layers/135/clips/1/connect</t>
        </is>
      </c>
      <c r="M68" s="71" t="n">
        <v>1028</v>
      </c>
      <c r="N68" t="inlineStr">
        <is>
          <t>Button / value</t>
        </is>
      </c>
      <c r="O68" s="73" t="n"/>
      <c r="P68" s="73" t="n"/>
      <c r="R68" s="71" t="n">
        <v>128</v>
      </c>
      <c r="S68" s="71" t="n">
        <v>0</v>
      </c>
      <c r="T68" t="inlineStr">
        <is>
          <t>APC40 mkII</t>
        </is>
      </c>
      <c r="U68" t="inlineStr">
        <is>
          <t>/composition/layers/135/clips/1/connect</t>
        </is>
      </c>
      <c r="V68" t="inlineStr">
        <is>
          <t>/composition/layers/135/clips/1/connected</t>
        </is>
      </c>
      <c r="W68" t="inlineStr">
        <is>
          <t>/composition/layers/135/clips/1/connected</t>
        </is>
      </c>
      <c r="X68" t="inlineStr">
        <is>
          <t>Connected=0.16535433070866142891; Connected &amp; previewing=0.16535433070866142891; Disconnected=0; Empty=0; Off=0; Previewing=0</t>
        </is>
      </c>
    </row>
    <row r="69">
      <c r="A69" s="71" t="n">
        <v>65</v>
      </c>
      <c r="B69" s="72" t="inlineStr">
        <is>
          <t>1784313900004</t>
        </is>
      </c>
      <c r="C69" t="inlineStr">
        <is>
          <t>button_connect</t>
        </is>
      </c>
      <c r="D69" s="71" t="n">
        <v>4</v>
      </c>
      <c r="E69" t="inlineStr">
        <is>
          <t>G4-5</t>
        </is>
      </c>
      <c r="F69" t="inlineStr">
        <is>
          <t>Grid 5 Track 4</t>
        </is>
      </c>
      <c r="G69" t="inlineStr">
        <is>
          <t>note</t>
        </is>
      </c>
      <c r="H69" s="72" t="n">
        <v>3</v>
      </c>
      <c r="I69" s="72" t="n">
        <v>1</v>
      </c>
      <c r="J69" s="72" t="inlineStr">
        <is>
          <t>72057594037928848</t>
        </is>
      </c>
      <c r="K69" t="inlineStr">
        <is>
          <t>N3/C1</t>
        </is>
      </c>
      <c r="L69" t="inlineStr">
        <is>
          <t>/composition/layers/4/clips/1/connect</t>
        </is>
      </c>
      <c r="M69" s="71" t="n">
        <v>1028</v>
      </c>
      <c r="N69" t="inlineStr">
        <is>
          <t>Button / value</t>
        </is>
      </c>
      <c r="O69" s="73" t="n"/>
      <c r="P69" s="73" t="n"/>
      <c r="R69" s="71" t="n">
        <v>128</v>
      </c>
      <c r="S69" s="71" t="n">
        <v>0</v>
      </c>
      <c r="T69" t="inlineStr">
        <is>
          <t>APC40 mkII</t>
        </is>
      </c>
      <c r="U69" t="inlineStr">
        <is>
          <t>/composition/layers/4/clips/1/connect</t>
        </is>
      </c>
      <c r="V69" t="inlineStr">
        <is>
          <t>/composition/layers/4/clips/1/connected</t>
        </is>
      </c>
      <c r="W69" t="inlineStr">
        <is>
          <t>/composition/layers/4/clips/1/connected</t>
        </is>
      </c>
      <c r="X69" t="inlineStr">
        <is>
          <t>Connected=0.039370078740157479769; Connected &amp; previewing=0.039370078740157479769; Disconnected=0; Empty=0; Off=0; Previewing=0</t>
        </is>
      </c>
    </row>
    <row r="70">
      <c r="A70" s="71" t="n">
        <v>66</v>
      </c>
      <c r="B70" s="72" t="inlineStr">
        <is>
          <t>1784313901145</t>
        </is>
      </c>
      <c r="C70" t="inlineStr">
        <is>
          <t>wake</t>
        </is>
      </c>
      <c r="D70" s="71" t="n">
        <v>145</v>
      </c>
      <c r="E70" t="inlineStr">
        <is>
          <t>CUE</t>
        </is>
      </c>
      <c r="F70" t="inlineStr">
        <is>
          <t>Cue Level</t>
        </is>
      </c>
      <c r="G70" t="inlineStr">
        <is>
          <t>cc</t>
        </is>
      </c>
      <c r="H70" s="72" t="n">
        <v>47</v>
      </c>
      <c r="I70" s="72" t="n">
        <v>1</v>
      </c>
      <c r="J70" s="72" t="inlineStr">
        <is>
          <t>144115188075868080</t>
        </is>
      </c>
      <c r="K70" t="inlineStr">
        <is>
          <t>CC47/C1</t>
        </is>
      </c>
      <c r="L70" t="inlineStr">
        <is>
          <t>/composition/layers/145/clips/1/connect</t>
        </is>
      </c>
      <c r="M70" s="71" t="n">
        <v>1028</v>
      </c>
      <c r="N70" t="inlineStr">
        <is>
          <t>CC wake</t>
        </is>
      </c>
      <c r="O70" s="73" t="n"/>
      <c r="P70" s="73" t="n"/>
      <c r="R70" s="71" t="n">
        <v>128</v>
      </c>
      <c r="S70" s="71" t="n">
        <v>1</v>
      </c>
      <c r="U70" t="inlineStr">
        <is>
          <t>/composition/layers/145/clips/1/connect</t>
        </is>
      </c>
      <c r="X70" t="inlineStr">
        <is>
          <t>Disconnected=1</t>
        </is>
      </c>
    </row>
    <row r="71">
      <c r="A71" s="71" t="n">
        <v>67</v>
      </c>
      <c r="B71" s="72" t="inlineStr">
        <is>
          <t>1784313900145</t>
        </is>
      </c>
      <c r="C71" t="inlineStr">
        <is>
          <t>opacity</t>
        </is>
      </c>
      <c r="D71" s="71" t="n">
        <v>145</v>
      </c>
      <c r="E71" t="inlineStr">
        <is>
          <t>CUE</t>
        </is>
      </c>
      <c r="F71" t="inlineStr">
        <is>
          <t>Cue Level</t>
        </is>
      </c>
      <c r="G71" t="inlineStr">
        <is>
          <t>cc</t>
        </is>
      </c>
      <c r="H71" s="72" t="n">
        <v>47</v>
      </c>
      <c r="I71" s="72" t="n">
        <v>1</v>
      </c>
      <c r="J71" s="72" t="inlineStr">
        <is>
          <t>144115188075868080</t>
        </is>
      </c>
      <c r="K71" t="inlineStr">
        <is>
          <t>CC47/C1</t>
        </is>
      </c>
      <c r="L71" t="inlineStr">
        <is>
          <t>/composition/layers/145/clips/1/video/opacity</t>
        </is>
      </c>
      <c r="M71" s="71" t="n">
        <v>8</v>
      </c>
      <c r="N71" t="inlineStr">
        <is>
          <t>Absolute</t>
        </is>
      </c>
      <c r="O71" s="73" t="n">
        <v>0.35</v>
      </c>
      <c r="P71" s="73" t="n">
        <v>1</v>
      </c>
      <c r="Q71" t="inlineStr">
        <is>
          <t>ascending</t>
        </is>
      </c>
      <c r="R71" s="71" t="n">
        <v>128</v>
      </c>
      <c r="S71" s="71" t="n">
        <v>1</v>
      </c>
      <c r="U71" t="inlineStr">
        <is>
          <t>/composition/layers/145/clips/1/video/opacity</t>
        </is>
      </c>
    </row>
    <row r="72">
      <c r="A72" s="71" t="n">
        <v>68</v>
      </c>
      <c r="B72" s="72" t="inlineStr">
        <is>
          <t>1784313902145</t>
        </is>
      </c>
      <c r="C72" t="inlineStr">
        <is>
          <t>motion_rotation</t>
        </is>
      </c>
      <c r="D72" s="71" t="n">
        <v>145</v>
      </c>
      <c r="E72" t="inlineStr">
        <is>
          <t>CUE</t>
        </is>
      </c>
      <c r="F72" t="inlineStr">
        <is>
          <t>Cue Level</t>
        </is>
      </c>
      <c r="G72" t="inlineStr">
        <is>
          <t>cc</t>
        </is>
      </c>
      <c r="H72" s="72" t="n">
        <v>47</v>
      </c>
      <c r="I72" s="72" t="n">
        <v>1</v>
      </c>
      <c r="J72" s="72" t="inlineStr">
        <is>
          <t>144115188075868080</t>
        </is>
      </c>
      <c r="K72" t="inlineStr">
        <is>
          <t>CC47/C1</t>
        </is>
      </c>
      <c r="L72" t="inlineStr">
        <is>
          <t>/composition/layers/145/clips/1/video/effects/transform/rotationz</t>
        </is>
      </c>
      <c r="M72" s="71" t="n">
        <v>8</v>
      </c>
      <c r="N72" t="inlineStr">
        <is>
          <t>Absolute</t>
        </is>
      </c>
      <c r="O72" s="73" t="n">
        <v>0.125</v>
      </c>
      <c r="P72" s="73" t="n">
        <v>0.875</v>
      </c>
      <c r="Q72" t="inlineStr">
        <is>
          <t>ascending</t>
        </is>
      </c>
      <c r="R72" s="71" t="n">
        <v>128</v>
      </c>
      <c r="S72" s="71" t="n">
        <v>1</v>
      </c>
      <c r="U72" t="inlineStr">
        <is>
          <t>/composition/layers/145/clips/1/video/effects/transform/rotationz</t>
        </is>
      </c>
    </row>
    <row r="73">
      <c r="A73" s="71" t="n">
        <v>69</v>
      </c>
      <c r="B73" s="72" t="inlineStr">
        <is>
          <t>1784313901148</t>
        </is>
      </c>
      <c r="C73" t="inlineStr">
        <is>
          <t>wake</t>
        </is>
      </c>
      <c r="D73" s="71" t="n">
        <v>148</v>
      </c>
      <c r="E73" t="inlineStr">
        <is>
          <t>TEMPO</t>
        </is>
      </c>
      <c r="F73" t="inlineStr">
        <is>
          <t>Tempo Knob</t>
        </is>
      </c>
      <c r="G73" t="inlineStr">
        <is>
          <t>cc</t>
        </is>
      </c>
      <c r="H73" s="72" t="n">
        <v>13</v>
      </c>
      <c r="I73" s="72" t="n">
        <v>1</v>
      </c>
      <c r="J73" s="72" t="inlineStr">
        <is>
          <t>144115188075859376</t>
        </is>
      </c>
      <c r="K73" t="inlineStr">
        <is>
          <t>CC13/C1</t>
        </is>
      </c>
      <c r="L73" t="inlineStr">
        <is>
          <t>/composition/layers/148/clips/1/connect</t>
        </is>
      </c>
      <c r="M73" s="71" t="n">
        <v>1028</v>
      </c>
      <c r="N73" t="inlineStr">
        <is>
          <t>CC wake</t>
        </is>
      </c>
      <c r="O73" s="73" t="n"/>
      <c r="P73" s="73" t="n"/>
      <c r="R73" s="71" t="n">
        <v>128</v>
      </c>
      <c r="S73" s="71" t="n">
        <v>1</v>
      </c>
      <c r="U73" t="inlineStr">
        <is>
          <t>/composition/layers/148/clips/1/connect</t>
        </is>
      </c>
      <c r="X73" t="inlineStr">
        <is>
          <t>Disconnected=1</t>
        </is>
      </c>
    </row>
    <row r="74">
      <c r="A74" s="71" t="n">
        <v>70</v>
      </c>
      <c r="B74" s="72" t="inlineStr">
        <is>
          <t>1784313900148</t>
        </is>
      </c>
      <c r="C74" t="inlineStr">
        <is>
          <t>tempo_motion</t>
        </is>
      </c>
      <c r="D74" s="71" t="n">
        <v>148</v>
      </c>
      <c r="E74" t="inlineStr">
        <is>
          <t>TEMPO</t>
        </is>
      </c>
      <c r="F74" t="inlineStr">
        <is>
          <t>Tempo Knob</t>
        </is>
      </c>
      <c r="G74" t="inlineStr">
        <is>
          <t>cc</t>
        </is>
      </c>
      <c r="H74" s="72" t="n">
        <v>13</v>
      </c>
      <c r="I74" s="72" t="n">
        <v>1</v>
      </c>
      <c r="J74" s="72" t="inlineStr">
        <is>
          <t>144115188075859376</t>
        </is>
      </c>
      <c r="K74" t="inlineStr">
        <is>
          <t>CC13/C1</t>
        </is>
      </c>
      <c r="L74" t="inlineStr">
        <is>
          <t>/composition/layers/148/clips/1/video/effects/transform/rotationz</t>
        </is>
      </c>
      <c r="M74" s="71" t="n">
        <v>16392</v>
      </c>
      <c r="N74" t="inlineStr">
        <is>
          <t>Relative</t>
        </is>
      </c>
      <c r="O74" s="73" t="n"/>
      <c r="P74" s="73" t="n"/>
      <c r="Q74" t="inlineStr">
        <is>
          <t>relative</t>
        </is>
      </c>
      <c r="R74" s="71" t="n">
        <v>480</v>
      </c>
      <c r="S74" s="71" t="n">
        <v>-0.002083333333333333</v>
      </c>
      <c r="U74" t="inlineStr">
        <is>
          <t>/composition/layers/148/clips/1/video/effects/transform/rotationz</t>
        </is>
      </c>
    </row>
    <row r="75">
      <c r="A75" s="71" t="n">
        <v>71</v>
      </c>
      <c r="B75" s="72" t="inlineStr">
        <is>
          <t>1784313900067</t>
        </is>
      </c>
      <c r="C75" t="inlineStr">
        <is>
          <t>button_connect</t>
        </is>
      </c>
      <c r="D75" s="71" t="n">
        <v>67</v>
      </c>
      <c r="E75" t="inlineStr">
        <is>
          <t>●</t>
        </is>
      </c>
      <c r="F75" t="inlineStr">
        <is>
          <t>Record Arm 6</t>
        </is>
      </c>
      <c r="G75" t="inlineStr">
        <is>
          <t>note</t>
        </is>
      </c>
      <c r="H75" s="72" t="n">
        <v>48</v>
      </c>
      <c r="I75" s="72" t="n">
        <v>6</v>
      </c>
      <c r="J75" s="72" t="inlineStr">
        <is>
          <t>72057594037940373</t>
        </is>
      </c>
      <c r="K75" t="inlineStr">
        <is>
          <t>N48/C6</t>
        </is>
      </c>
      <c r="L75" t="inlineStr">
        <is>
          <t>/composition/layers/67/clips/1/connect</t>
        </is>
      </c>
      <c r="M75" s="71" t="n">
        <v>1028</v>
      </c>
      <c r="N75" t="inlineStr">
        <is>
          <t>Button / value</t>
        </is>
      </c>
      <c r="O75" s="73" t="n"/>
      <c r="P75" s="73" t="n"/>
      <c r="R75" s="71" t="n">
        <v>128</v>
      </c>
      <c r="S75" s="71" t="n">
        <v>0</v>
      </c>
      <c r="T75" t="inlineStr">
        <is>
          <t>APC40 mkII</t>
        </is>
      </c>
      <c r="U75" t="inlineStr">
        <is>
          <t>/composition/layers/67/clips/1/connect</t>
        </is>
      </c>
      <c r="V75" t="inlineStr">
        <is>
          <t>/composition/layers/67/clips/1/connected</t>
        </is>
      </c>
      <c r="W75" t="inlineStr">
        <is>
          <t>/composition/layers/67/clips/1/connected</t>
        </is>
      </c>
      <c r="X75" t="inlineStr">
        <is>
          <t>Connected=0.039370078740157479769; Connected &amp; previewing=0.039370078740157479769; Disconnected=0; Empty=0; Off=0; Previewing=0</t>
        </is>
      </c>
    </row>
    <row r="76">
      <c r="A76" s="71" t="n">
        <v>72</v>
      </c>
      <c r="B76" s="72" t="inlineStr">
        <is>
          <t>1784313901094</t>
        </is>
      </c>
      <c r="C76" t="inlineStr">
        <is>
          <t>wake</t>
        </is>
      </c>
      <c r="D76" s="71" t="n">
        <v>94</v>
      </c>
      <c r="E76" t="inlineStr">
        <is>
          <t>FADER1</t>
        </is>
      </c>
      <c r="F76" t="inlineStr">
        <is>
          <t>Track Fader 1</t>
        </is>
      </c>
      <c r="G76" t="inlineStr">
        <is>
          <t>cc</t>
        </is>
      </c>
      <c r="H76" s="72" t="n">
        <v>7</v>
      </c>
      <c r="I76" s="72" t="n">
        <v>1</v>
      </c>
      <c r="J76" s="72" t="inlineStr">
        <is>
          <t>144115188075857840</t>
        </is>
      </c>
      <c r="K76" t="inlineStr">
        <is>
          <t>CC7/C1</t>
        </is>
      </c>
      <c r="L76" t="inlineStr">
        <is>
          <t>/composition/layers/94/clips/1/connect</t>
        </is>
      </c>
      <c r="M76" s="71" t="n">
        <v>1028</v>
      </c>
      <c r="N76" t="inlineStr">
        <is>
          <t>CC wake</t>
        </is>
      </c>
      <c r="O76" s="73" t="n"/>
      <c r="P76" s="73" t="n"/>
      <c r="R76" s="71" t="n">
        <v>128</v>
      </c>
      <c r="S76" s="71" t="n">
        <v>1</v>
      </c>
      <c r="U76" t="inlineStr">
        <is>
          <t>/composition/layers/94/clips/1/connect</t>
        </is>
      </c>
      <c r="X76" t="inlineStr">
        <is>
          <t>Disconnected=1</t>
        </is>
      </c>
    </row>
    <row r="77">
      <c r="A77" s="71" t="n">
        <v>73</v>
      </c>
      <c r="B77" s="72" t="inlineStr">
        <is>
          <t>1784313900094</t>
        </is>
      </c>
      <c r="C77" t="inlineStr">
        <is>
          <t>opacity</t>
        </is>
      </c>
      <c r="D77" s="71" t="n">
        <v>94</v>
      </c>
      <c r="E77" t="inlineStr">
        <is>
          <t>FADER1</t>
        </is>
      </c>
      <c r="F77" t="inlineStr">
        <is>
          <t>Track Fader 1</t>
        </is>
      </c>
      <c r="G77" t="inlineStr">
        <is>
          <t>cc</t>
        </is>
      </c>
      <c r="H77" s="72" t="n">
        <v>7</v>
      </c>
      <c r="I77" s="72" t="n">
        <v>1</v>
      </c>
      <c r="J77" s="72" t="inlineStr">
        <is>
          <t>144115188075857840</t>
        </is>
      </c>
      <c r="K77" t="inlineStr">
        <is>
          <t>CC7/C1</t>
        </is>
      </c>
      <c r="L77" t="inlineStr">
        <is>
          <t>/composition/layers/94/clips/1/video/opacity</t>
        </is>
      </c>
      <c r="M77" s="71" t="n">
        <v>8</v>
      </c>
      <c r="N77" t="inlineStr">
        <is>
          <t>Absolute</t>
        </is>
      </c>
      <c r="O77" s="73" t="n">
        <v>0.65</v>
      </c>
      <c r="P77" s="73" t="n">
        <v>1</v>
      </c>
      <c r="Q77" t="inlineStr">
        <is>
          <t>ascending</t>
        </is>
      </c>
      <c r="R77" s="71" t="n">
        <v>128</v>
      </c>
      <c r="S77" s="71" t="n">
        <v>1</v>
      </c>
      <c r="U77" t="inlineStr">
        <is>
          <t>/composition/layers/94/clips/1/video/opacity</t>
        </is>
      </c>
    </row>
    <row r="78">
      <c r="A78" s="71" t="n">
        <v>74</v>
      </c>
      <c r="B78" s="72" t="inlineStr">
        <is>
          <t>1784313902094</t>
        </is>
      </c>
      <c r="C78" t="inlineStr">
        <is>
          <t>motion_y</t>
        </is>
      </c>
      <c r="D78" s="71" t="n">
        <v>94</v>
      </c>
      <c r="E78" t="inlineStr">
        <is>
          <t>FADER1</t>
        </is>
      </c>
      <c r="F78" t="inlineStr">
        <is>
          <t>Track Fader 1</t>
        </is>
      </c>
      <c r="G78" t="inlineStr">
        <is>
          <t>cc</t>
        </is>
      </c>
      <c r="H78" s="72" t="n">
        <v>7</v>
      </c>
      <c r="I78" s="72" t="n">
        <v>1</v>
      </c>
      <c r="J78" s="72" t="inlineStr">
        <is>
          <t>144115188075857840</t>
        </is>
      </c>
      <c r="K78" t="inlineStr">
        <is>
          <t>CC7/C1</t>
        </is>
      </c>
      <c r="L78" t="inlineStr">
        <is>
          <t>/composition/layers/94/clips/1/video/effects/transform/positiony</t>
        </is>
      </c>
      <c r="M78" s="71" t="n">
        <v>8</v>
      </c>
      <c r="N78" t="inlineStr">
        <is>
          <t>Absolute</t>
        </is>
      </c>
      <c r="O78" s="73" t="n">
        <v>0.506629943848</v>
      </c>
      <c r="P78" s="73" t="n">
        <v>0.504295349121</v>
      </c>
      <c r="Q78" t="inlineStr">
        <is>
          <t>descending</t>
        </is>
      </c>
      <c r="R78" s="71" t="n">
        <v>128</v>
      </c>
      <c r="S78" s="71" t="n">
        <v>1</v>
      </c>
      <c r="U78" t="inlineStr">
        <is>
          <t>/composition/layers/94/clips/1/video/effects/transform/positiony</t>
        </is>
      </c>
    </row>
    <row r="79">
      <c r="A79" s="71" t="n">
        <v>75</v>
      </c>
      <c r="B79" s="72" t="inlineStr">
        <is>
          <t>1784313900070</t>
        </is>
      </c>
      <c r="C79" t="inlineStr">
        <is>
          <t>button_connect</t>
        </is>
      </c>
      <c r="D79" s="71" t="n">
        <v>70</v>
      </c>
      <c r="E79" t="inlineStr">
        <is>
          <t>S</t>
        </is>
      </c>
      <c r="F79" t="inlineStr">
        <is>
          <t>Solo 1</t>
        </is>
      </c>
      <c r="G79" t="inlineStr">
        <is>
          <t>note</t>
        </is>
      </c>
      <c r="H79" s="72" t="n">
        <v>49</v>
      </c>
      <c r="I79" s="72" t="n">
        <v>1</v>
      </c>
      <c r="J79" s="72" t="inlineStr">
        <is>
          <t>72057594037940624</t>
        </is>
      </c>
      <c r="K79" t="inlineStr">
        <is>
          <t>N49/C1</t>
        </is>
      </c>
      <c r="L79" t="inlineStr">
        <is>
          <t>/composition/layers/70/clips/1/connect</t>
        </is>
      </c>
      <c r="M79" s="71" t="n">
        <v>1028</v>
      </c>
      <c r="N79" t="inlineStr">
        <is>
          <t>Button / value</t>
        </is>
      </c>
      <c r="O79" s="73" t="n"/>
      <c r="P79" s="73" t="n"/>
      <c r="R79" s="71" t="n">
        <v>128</v>
      </c>
      <c r="S79" s="71" t="n">
        <v>0</v>
      </c>
      <c r="T79" t="inlineStr">
        <is>
          <t>APC40 mkII</t>
        </is>
      </c>
      <c r="U79" t="inlineStr">
        <is>
          <t>/composition/layers/70/clips/1/connect</t>
        </is>
      </c>
      <c r="V79" t="inlineStr">
        <is>
          <t>/composition/layers/70/clips/1/connected</t>
        </is>
      </c>
      <c r="W79" t="inlineStr">
        <is>
          <t>/composition/layers/70/clips/1/connected</t>
        </is>
      </c>
      <c r="X79" t="inlineStr">
        <is>
          <t>Connected=1; Connected &amp; previewing=1; Disconnected=0; Empty=0; Off=0; Previewing=0</t>
        </is>
      </c>
    </row>
    <row r="80">
      <c r="A80" s="71" t="n">
        <v>76</v>
      </c>
      <c r="B80" s="72" t="inlineStr">
        <is>
          <t>1784313900147</t>
        </is>
      </c>
      <c r="C80" t="inlineStr">
        <is>
          <t>button_connect</t>
        </is>
      </c>
      <c r="D80" s="71" t="n">
        <v>147</v>
      </c>
      <c r="E80" t="inlineStr">
        <is>
          <t>BANKLCK</t>
        </is>
      </c>
      <c r="F80" t="inlineStr">
        <is>
          <t>Bank Lock</t>
        </is>
      </c>
      <c r="G80" t="inlineStr">
        <is>
          <t>note</t>
        </is>
      </c>
      <c r="H80" s="72" t="n">
        <v>103</v>
      </c>
      <c r="I80" s="72" t="n">
        <v>1</v>
      </c>
      <c r="J80" s="72" t="inlineStr">
        <is>
          <t>72057594037954448</t>
        </is>
      </c>
      <c r="K80" t="inlineStr">
        <is>
          <t>N103/C1</t>
        </is>
      </c>
      <c r="L80" t="inlineStr">
        <is>
          <t>/composition/layers/147/clips/1/connect</t>
        </is>
      </c>
      <c r="M80" s="71" t="n">
        <v>1028</v>
      </c>
      <c r="N80" t="inlineStr">
        <is>
          <t>Button / value</t>
        </is>
      </c>
      <c r="O80" s="73" t="n"/>
      <c r="P80" s="73" t="n"/>
      <c r="R80" s="71" t="n">
        <v>128</v>
      </c>
      <c r="S80" s="71" t="n">
        <v>0</v>
      </c>
      <c r="T80" t="inlineStr">
        <is>
          <t>APC40 mkII</t>
        </is>
      </c>
      <c r="U80" t="inlineStr">
        <is>
          <t>/composition/layers/147/clips/1/connect</t>
        </is>
      </c>
      <c r="V80" t="inlineStr">
        <is>
          <t>/composition/layers/147/clips/1/connected</t>
        </is>
      </c>
      <c r="W80" t="inlineStr">
        <is>
          <t>/composition/layers/147/clips/1/connected</t>
        </is>
      </c>
      <c r="X80" t="inlineStr">
        <is>
          <t>Connected=0.38582677165354328785; Connected &amp; previewing=0.38582677165354328785; Disconnected=0; Empty=0; Off=0; Previewing=0</t>
        </is>
      </c>
    </row>
    <row r="81">
      <c r="A81" s="71" t="n">
        <v>77</v>
      </c>
      <c r="B81" s="72" t="inlineStr">
        <is>
          <t>1784313900140</t>
        </is>
      </c>
      <c r="C81" t="inlineStr">
        <is>
          <t>button_connect</t>
        </is>
      </c>
      <c r="D81" s="71" t="n">
        <v>140</v>
      </c>
      <c r="E81" t="inlineStr">
        <is>
          <t>USER</t>
        </is>
      </c>
      <c r="F81" t="inlineStr">
        <is>
          <t>User Mode</t>
        </is>
      </c>
      <c r="G81" t="inlineStr">
        <is>
          <t>note</t>
        </is>
      </c>
      <c r="H81" s="72" t="n">
        <v>89</v>
      </c>
      <c r="I81" s="72" t="n">
        <v>1</v>
      </c>
      <c r="J81" s="72" t="inlineStr">
        <is>
          <t>72057594037950864</t>
        </is>
      </c>
      <c r="K81" t="inlineStr">
        <is>
          <t>N89/C1</t>
        </is>
      </c>
      <c r="L81" t="inlineStr">
        <is>
          <t>/composition/layers/140/clips/1/connect</t>
        </is>
      </c>
      <c r="M81" s="71" t="n">
        <v>1028</v>
      </c>
      <c r="N81" t="inlineStr">
        <is>
          <t>Button / value</t>
        </is>
      </c>
      <c r="O81" s="73" t="n"/>
      <c r="P81" s="73" t="n"/>
      <c r="R81" s="71" t="n">
        <v>128</v>
      </c>
      <c r="S81" s="71" t="n">
        <v>0</v>
      </c>
      <c r="T81" t="inlineStr">
        <is>
          <t>APC40 mkII</t>
        </is>
      </c>
      <c r="U81" t="inlineStr">
        <is>
          <t>/composition/layers/140/clips/1/connect</t>
        </is>
      </c>
      <c r="V81" t="inlineStr">
        <is>
          <t>/composition/layers/140/clips/1/connected</t>
        </is>
      </c>
      <c r="W81" t="inlineStr">
        <is>
          <t>/composition/layers/140/clips/1/connected</t>
        </is>
      </c>
      <c r="X81" t="inlineStr">
        <is>
          <t>Connected=0.38582677165354328785; Connected &amp; previewing=0.38582677165354328785; Disconnected=0; Empty=0; Off=0; Previewing=0</t>
        </is>
      </c>
    </row>
    <row r="82">
      <c r="A82" s="71" t="n">
        <v>78</v>
      </c>
      <c r="B82" s="72" t="inlineStr">
        <is>
          <t>1784313900082</t>
        </is>
      </c>
      <c r="C82" t="inlineStr">
        <is>
          <t>button_connect</t>
        </is>
      </c>
      <c r="D82" s="71" t="n">
        <v>82</v>
      </c>
      <c r="E82" t="inlineStr">
        <is>
          <t>5</t>
        </is>
      </c>
      <c r="F82" t="inlineStr">
        <is>
          <t>Activator 5</t>
        </is>
      </c>
      <c r="G82" t="inlineStr">
        <is>
          <t>note</t>
        </is>
      </c>
      <c r="H82" s="72" t="n">
        <v>50</v>
      </c>
      <c r="I82" s="72" t="n">
        <v>5</v>
      </c>
      <c r="J82" s="72" t="inlineStr">
        <is>
          <t>72057594037940884</t>
        </is>
      </c>
      <c r="K82" t="inlineStr">
        <is>
          <t>N50/C5</t>
        </is>
      </c>
      <c r="L82" t="inlineStr">
        <is>
          <t>/composition/layers/82/clips/1/connect</t>
        </is>
      </c>
      <c r="M82" s="71" t="n">
        <v>1028</v>
      </c>
      <c r="N82" t="inlineStr">
        <is>
          <t>Button / value</t>
        </is>
      </c>
      <c r="O82" s="73" t="n"/>
      <c r="P82" s="73" t="n"/>
      <c r="R82" s="71" t="n">
        <v>128</v>
      </c>
      <c r="S82" s="71" t="n">
        <v>0</v>
      </c>
      <c r="T82" t="inlineStr">
        <is>
          <t>APC40 mkII</t>
        </is>
      </c>
      <c r="U82" t="inlineStr">
        <is>
          <t>/composition/layers/82/clips/1/connect</t>
        </is>
      </c>
      <c r="V82" t="inlineStr">
        <is>
          <t>/composition/layers/82/clips/1/connected</t>
        </is>
      </c>
      <c r="W82" t="inlineStr">
        <is>
          <t>/composition/layers/82/clips/1/connected</t>
        </is>
      </c>
      <c r="X82" t="inlineStr">
        <is>
          <t>Connected=0.16535433070866142891; Connected &amp; previewing=0.16535433070866142891; Disconnected=0; Empty=0; Off=0; Previewing=0</t>
        </is>
      </c>
    </row>
    <row r="83">
      <c r="A83" s="71" t="n">
        <v>79</v>
      </c>
      <c r="B83" s="72" t="inlineStr">
        <is>
          <t>1784313900090</t>
        </is>
      </c>
      <c r="C83" t="inlineStr">
        <is>
          <t>button_connect</t>
        </is>
      </c>
      <c r="D83" s="71" t="n">
        <v>90</v>
      </c>
      <c r="E83" t="inlineStr">
        <is>
          <t>A/B</t>
        </is>
      </c>
      <c r="F83" t="inlineStr">
        <is>
          <t>Crossfade A B 5</t>
        </is>
      </c>
      <c r="G83" t="inlineStr">
        <is>
          <t>note</t>
        </is>
      </c>
      <c r="H83" s="72" t="n">
        <v>66</v>
      </c>
      <c r="I83" s="72" t="n">
        <v>5</v>
      </c>
      <c r="J83" s="72" t="inlineStr">
        <is>
          <t>72057594037944980</t>
        </is>
      </c>
      <c r="K83" t="inlineStr">
        <is>
          <t>N66/C5</t>
        </is>
      </c>
      <c r="L83" t="inlineStr">
        <is>
          <t>/composition/layers/90/clips/1/connect</t>
        </is>
      </c>
      <c r="M83" s="71" t="n">
        <v>1028</v>
      </c>
      <c r="N83" t="inlineStr">
        <is>
          <t>Button / value</t>
        </is>
      </c>
      <c r="O83" s="73" t="n"/>
      <c r="P83" s="73" t="n"/>
      <c r="R83" s="71" t="n">
        <v>128</v>
      </c>
      <c r="S83" s="71" t="n">
        <v>0</v>
      </c>
      <c r="T83" t="inlineStr">
        <is>
          <t>APC40 mkII</t>
        </is>
      </c>
      <c r="U83" t="inlineStr">
        <is>
          <t>/composition/layers/90/clips/1/connect</t>
        </is>
      </c>
      <c r="V83" t="inlineStr">
        <is>
          <t>/composition/layers/90/clips/1/connected</t>
        </is>
      </c>
      <c r="W83" t="inlineStr">
        <is>
          <t>/composition/layers/90/clips/1/connected</t>
        </is>
      </c>
      <c r="X83" t="inlineStr">
        <is>
          <t>Connected=0.070866141732283463583; Connected &amp; previewing=0.070866141732283463583; Disconnected=0; Empty=0; Off=0; Previewing=0</t>
        </is>
      </c>
    </row>
    <row r="84">
      <c r="A84" s="71" t="n">
        <v>80</v>
      </c>
      <c r="B84" s="72" t="inlineStr">
        <is>
          <t>1784313900137</t>
        </is>
      </c>
      <c r="C84" t="inlineStr">
        <is>
          <t>button_connect</t>
        </is>
      </c>
      <c r="D84" s="71" t="n">
        <v>137</v>
      </c>
      <c r="E84" t="inlineStr">
        <is>
          <t>CLIP/DEV</t>
        </is>
      </c>
      <c r="F84" t="inlineStr">
        <is>
          <t>Clip Device View</t>
        </is>
      </c>
      <c r="G84" t="inlineStr">
        <is>
          <t>note</t>
        </is>
      </c>
      <c r="H84" s="72" t="n">
        <v>64</v>
      </c>
      <c r="I84" s="72" t="n">
        <v>1</v>
      </c>
      <c r="J84" s="72" t="inlineStr">
        <is>
          <t>72057594037944464</t>
        </is>
      </c>
      <c r="K84" t="inlineStr">
        <is>
          <t>N64/C1</t>
        </is>
      </c>
      <c r="L84" t="inlineStr">
        <is>
          <t>/composition/layers/137/clips/1/connect</t>
        </is>
      </c>
      <c r="M84" s="71" t="n">
        <v>1028</v>
      </c>
      <c r="N84" t="inlineStr">
        <is>
          <t>Button / value</t>
        </is>
      </c>
      <c r="O84" s="73" t="n"/>
      <c r="P84" s="73" t="n"/>
      <c r="R84" s="71" t="n">
        <v>128</v>
      </c>
      <c r="S84" s="71" t="n">
        <v>0</v>
      </c>
      <c r="T84" t="inlineStr">
        <is>
          <t>APC40 mkII</t>
        </is>
      </c>
      <c r="U84" t="inlineStr">
        <is>
          <t>/composition/layers/137/clips/1/connect</t>
        </is>
      </c>
      <c r="V84" t="inlineStr">
        <is>
          <t>/composition/layers/137/clips/1/connected</t>
        </is>
      </c>
      <c r="W84" t="inlineStr">
        <is>
          <t>/composition/layers/137/clips/1/connected</t>
        </is>
      </c>
      <c r="X84" t="inlineStr">
        <is>
          <t>Connected=0.38582677165354328785; Connected &amp; previewing=0.38582677165354328785; Disconnected=0; Empty=0; Off=0; Previewing=0</t>
        </is>
      </c>
    </row>
    <row r="85">
      <c r="A85" s="71" t="n">
        <v>81</v>
      </c>
      <c r="B85" s="72" t="inlineStr">
        <is>
          <t>1784313900138</t>
        </is>
      </c>
      <c r="C85" t="inlineStr">
        <is>
          <t>button_connect</t>
        </is>
      </c>
      <c r="D85" s="71" t="n">
        <v>138</v>
      </c>
      <c r="E85" t="inlineStr">
        <is>
          <t>DETAIL</t>
        </is>
      </c>
      <c r="F85" t="inlineStr">
        <is>
          <t>Detail View</t>
        </is>
      </c>
      <c r="G85" t="inlineStr">
        <is>
          <t>note</t>
        </is>
      </c>
      <c r="H85" s="72" t="n">
        <v>65</v>
      </c>
      <c r="I85" s="72" t="n">
        <v>1</v>
      </c>
      <c r="J85" s="72" t="inlineStr">
        <is>
          <t>72057594037944720</t>
        </is>
      </c>
      <c r="K85" t="inlineStr">
        <is>
          <t>N65/C1</t>
        </is>
      </c>
      <c r="L85" t="inlineStr">
        <is>
          <t>/composition/layers/138/clips/1/connect</t>
        </is>
      </c>
      <c r="M85" s="71" t="n">
        <v>1028</v>
      </c>
      <c r="N85" t="inlineStr">
        <is>
          <t>Button / value</t>
        </is>
      </c>
      <c r="O85" s="73" t="n"/>
      <c r="P85" s="73" t="n"/>
      <c r="R85" s="71" t="n">
        <v>128</v>
      </c>
      <c r="S85" s="71" t="n">
        <v>0</v>
      </c>
      <c r="T85" t="inlineStr">
        <is>
          <t>APC40 mkII</t>
        </is>
      </c>
      <c r="U85" t="inlineStr">
        <is>
          <t>/composition/layers/138/clips/1/connect</t>
        </is>
      </c>
      <c r="V85" t="inlineStr">
        <is>
          <t>/composition/layers/138/clips/1/connected</t>
        </is>
      </c>
      <c r="W85" t="inlineStr">
        <is>
          <t>/composition/layers/138/clips/1/connected</t>
        </is>
      </c>
      <c r="X85" t="inlineStr">
        <is>
          <t>Connected=0.38582677165354328785; Connected &amp; previewing=0.38582677165354328785; Disconnected=0; Empty=0; Off=0; Previewing=0</t>
        </is>
      </c>
    </row>
    <row r="86">
      <c r="A86" s="71" t="n">
        <v>82</v>
      </c>
      <c r="B86" s="72" t="inlineStr">
        <is>
          <t>1784313900072</t>
        </is>
      </c>
      <c r="C86" t="inlineStr">
        <is>
          <t>button_connect</t>
        </is>
      </c>
      <c r="D86" s="71" t="n">
        <v>72</v>
      </c>
      <c r="E86" t="inlineStr">
        <is>
          <t>S</t>
        </is>
      </c>
      <c r="F86" t="inlineStr">
        <is>
          <t>Solo 3</t>
        </is>
      </c>
      <c r="G86" t="inlineStr">
        <is>
          <t>note</t>
        </is>
      </c>
      <c r="H86" s="72" t="n">
        <v>49</v>
      </c>
      <c r="I86" s="72" t="n">
        <v>3</v>
      </c>
      <c r="J86" s="72" t="inlineStr">
        <is>
          <t>72057594037940626</t>
        </is>
      </c>
      <c r="K86" t="inlineStr">
        <is>
          <t>N49/C3</t>
        </is>
      </c>
      <c r="L86" t="inlineStr">
        <is>
          <t>/composition/layers/72/clips/1/connect</t>
        </is>
      </c>
      <c r="M86" s="71" t="n">
        <v>1028</v>
      </c>
      <c r="N86" t="inlineStr">
        <is>
          <t>Button / value</t>
        </is>
      </c>
      <c r="O86" s="73" t="n"/>
      <c r="P86" s="73" t="n"/>
      <c r="R86" s="71" t="n">
        <v>128</v>
      </c>
      <c r="S86" s="71" t="n">
        <v>0</v>
      </c>
      <c r="T86" t="inlineStr">
        <is>
          <t>APC40 mkII</t>
        </is>
      </c>
      <c r="U86" t="inlineStr">
        <is>
          <t>/composition/layers/72/clips/1/connect</t>
        </is>
      </c>
      <c r="V86" t="inlineStr">
        <is>
          <t>/composition/layers/72/clips/1/connected</t>
        </is>
      </c>
      <c r="W86" t="inlineStr">
        <is>
          <t>/composition/layers/72/clips/1/connected</t>
        </is>
      </c>
      <c r="X86" t="inlineStr">
        <is>
          <t>Connected=1; Connected &amp; previewing=1; Disconnected=0; Empty=0; Off=0; Previewing=0</t>
        </is>
      </c>
    </row>
    <row r="87">
      <c r="A87" s="71" t="n">
        <v>83</v>
      </c>
      <c r="B87" s="72" t="inlineStr">
        <is>
          <t>1784313900142</t>
        </is>
      </c>
      <c r="C87" t="inlineStr">
        <is>
          <t>button_connect</t>
        </is>
      </c>
      <c r="D87" s="71" t="n">
        <v>142</v>
      </c>
      <c r="E87" t="inlineStr">
        <is>
          <t>SESSION</t>
        </is>
      </c>
      <c r="F87" t="inlineStr">
        <is>
          <t>Session Record</t>
        </is>
      </c>
      <c r="G87" t="inlineStr">
        <is>
          <t>note</t>
        </is>
      </c>
      <c r="H87" s="72" t="n">
        <v>102</v>
      </c>
      <c r="I87" s="72" t="n">
        <v>1</v>
      </c>
      <c r="J87" s="72" t="inlineStr">
        <is>
          <t>72057594037954192</t>
        </is>
      </c>
      <c r="K87" t="inlineStr">
        <is>
          <t>N102/C1</t>
        </is>
      </c>
      <c r="L87" t="inlineStr">
        <is>
          <t>/composition/layers/142/clips/1/connect</t>
        </is>
      </c>
      <c r="M87" s="71" t="n">
        <v>1028</v>
      </c>
      <c r="N87" t="inlineStr">
        <is>
          <t>Button / value</t>
        </is>
      </c>
      <c r="O87" s="73" t="n"/>
      <c r="P87" s="73" t="n"/>
      <c r="R87" s="71" t="n">
        <v>128</v>
      </c>
      <c r="S87" s="71" t="n">
        <v>0</v>
      </c>
      <c r="T87" t="inlineStr">
        <is>
          <t>APC40 mkII</t>
        </is>
      </c>
      <c r="U87" t="inlineStr">
        <is>
          <t>/composition/layers/142/clips/1/connect</t>
        </is>
      </c>
      <c r="V87" t="inlineStr">
        <is>
          <t>/composition/layers/142/clips/1/connected</t>
        </is>
      </c>
      <c r="W87" t="inlineStr">
        <is>
          <t>/composition/layers/142/clips/1/connected</t>
        </is>
      </c>
      <c r="X87" t="inlineStr">
        <is>
          <t>Connected=0.41732283464566927167; Connected &amp; previewing=0.41732283464566927167; Disconnected=0; Empty=0; Off=0; Previewing=0</t>
        </is>
      </c>
    </row>
    <row r="88">
      <c r="A88" s="71" t="n">
        <v>84</v>
      </c>
      <c r="B88" s="72" t="inlineStr">
        <is>
          <t>1784313900141</t>
        </is>
      </c>
      <c r="C88" t="inlineStr">
        <is>
          <t>button_connect</t>
        </is>
      </c>
      <c r="D88" s="71" t="n">
        <v>141</v>
      </c>
      <c r="E88" t="inlineStr">
        <is>
          <t>METRO</t>
        </is>
      </c>
      <c r="F88" t="inlineStr">
        <is>
          <t>Metronome</t>
        </is>
      </c>
      <c r="G88" t="inlineStr">
        <is>
          <t>note</t>
        </is>
      </c>
      <c r="H88" s="72" t="n">
        <v>90</v>
      </c>
      <c r="I88" s="72" t="n">
        <v>1</v>
      </c>
      <c r="J88" s="72" t="inlineStr">
        <is>
          <t>72057594037951120</t>
        </is>
      </c>
      <c r="K88" t="inlineStr">
        <is>
          <t>N90/C1</t>
        </is>
      </c>
      <c r="L88" t="inlineStr">
        <is>
          <t>/composition/layers/141/clips/1/connect</t>
        </is>
      </c>
      <c r="M88" s="71" t="n">
        <v>1028</v>
      </c>
      <c r="N88" t="inlineStr">
        <is>
          <t>Button / value</t>
        </is>
      </c>
      <c r="O88" s="73" t="n"/>
      <c r="P88" s="73" t="n"/>
      <c r="R88" s="71" t="n">
        <v>128</v>
      </c>
      <c r="S88" s="71" t="n">
        <v>0</v>
      </c>
      <c r="T88" t="inlineStr">
        <is>
          <t>APC40 mkII</t>
        </is>
      </c>
      <c r="U88" t="inlineStr">
        <is>
          <t>/composition/layers/141/clips/1/connect</t>
        </is>
      </c>
      <c r="V88" t="inlineStr">
        <is>
          <t>/composition/layers/141/clips/1/connected</t>
        </is>
      </c>
      <c r="W88" t="inlineStr">
        <is>
          <t>/composition/layers/141/clips/1/connected</t>
        </is>
      </c>
      <c r="X88" t="inlineStr">
        <is>
          <t>Connected=0.1023622047244094474; Connected &amp; previewing=0.1023622047244094474; Disconnected=0; Empty=0; Off=0; Previewing=0</t>
        </is>
      </c>
    </row>
    <row r="89">
      <c r="A89" s="71" t="n">
        <v>85</v>
      </c>
      <c r="B89" s="72" t="inlineStr">
        <is>
          <t>1784313900092</t>
        </is>
      </c>
      <c r="C89" t="inlineStr">
        <is>
          <t>button_connect</t>
        </is>
      </c>
      <c r="D89" s="71" t="n">
        <v>92</v>
      </c>
      <c r="E89" t="inlineStr">
        <is>
          <t>A/B</t>
        </is>
      </c>
      <c r="F89" t="inlineStr">
        <is>
          <t>Crossfade A B 7</t>
        </is>
      </c>
      <c r="G89" t="inlineStr">
        <is>
          <t>note</t>
        </is>
      </c>
      <c r="H89" s="72" t="n">
        <v>66</v>
      </c>
      <c r="I89" s="72" t="n">
        <v>7</v>
      </c>
      <c r="J89" s="72" t="inlineStr">
        <is>
          <t>72057594037944982</t>
        </is>
      </c>
      <c r="K89" t="inlineStr">
        <is>
          <t>N66/C7</t>
        </is>
      </c>
      <c r="L89" t="inlineStr">
        <is>
          <t>/composition/layers/92/clips/1/connect</t>
        </is>
      </c>
      <c r="M89" s="71" t="n">
        <v>1028</v>
      </c>
      <c r="N89" t="inlineStr">
        <is>
          <t>Button / value</t>
        </is>
      </c>
      <c r="O89" s="73" t="n"/>
      <c r="P89" s="73" t="n"/>
      <c r="R89" s="71" t="n">
        <v>128</v>
      </c>
      <c r="S89" s="71" t="n">
        <v>0</v>
      </c>
      <c r="T89" t="inlineStr">
        <is>
          <t>APC40 mkII</t>
        </is>
      </c>
      <c r="U89" t="inlineStr">
        <is>
          <t>/composition/layers/92/clips/1/connect</t>
        </is>
      </c>
      <c r="V89" t="inlineStr">
        <is>
          <t>/composition/layers/92/clips/1/connected</t>
        </is>
      </c>
      <c r="W89" t="inlineStr">
        <is>
          <t>/composition/layers/92/clips/1/connected</t>
        </is>
      </c>
      <c r="X89" t="inlineStr">
        <is>
          <t>Connected=0.070866141732283463583; Connected &amp; previewing=0.070866141732283463583; Disconnected=0; Empty=0; Off=0; Previewing=0</t>
        </is>
      </c>
    </row>
    <row r="90">
      <c r="A90" s="71" t="n">
        <v>86</v>
      </c>
      <c r="B90" s="72" t="inlineStr">
        <is>
          <t>1784313900071</t>
        </is>
      </c>
      <c r="C90" t="inlineStr">
        <is>
          <t>button_connect</t>
        </is>
      </c>
      <c r="D90" s="71" t="n">
        <v>71</v>
      </c>
      <c r="E90" t="inlineStr">
        <is>
          <t>S</t>
        </is>
      </c>
      <c r="F90" t="inlineStr">
        <is>
          <t>Solo 2</t>
        </is>
      </c>
      <c r="G90" t="inlineStr">
        <is>
          <t>note</t>
        </is>
      </c>
      <c r="H90" s="72" t="n">
        <v>49</v>
      </c>
      <c r="I90" s="72" t="n">
        <v>2</v>
      </c>
      <c r="J90" s="72" t="inlineStr">
        <is>
          <t>72057594037940625</t>
        </is>
      </c>
      <c r="K90" t="inlineStr">
        <is>
          <t>N49/C2</t>
        </is>
      </c>
      <c r="L90" t="inlineStr">
        <is>
          <t>/composition/layers/71/clips/1/connect</t>
        </is>
      </c>
      <c r="M90" s="71" t="n">
        <v>1028</v>
      </c>
      <c r="N90" t="inlineStr">
        <is>
          <t>Button / value</t>
        </is>
      </c>
      <c r="O90" s="73" t="n"/>
      <c r="P90" s="73" t="n"/>
      <c r="R90" s="71" t="n">
        <v>128</v>
      </c>
      <c r="S90" s="71" t="n">
        <v>0</v>
      </c>
      <c r="T90" t="inlineStr">
        <is>
          <t>APC40 mkII</t>
        </is>
      </c>
      <c r="U90" t="inlineStr">
        <is>
          <t>/composition/layers/71/clips/1/connect</t>
        </is>
      </c>
      <c r="V90" t="inlineStr">
        <is>
          <t>/composition/layers/71/clips/1/connected</t>
        </is>
      </c>
      <c r="W90" t="inlineStr">
        <is>
          <t>/composition/layers/71/clips/1/connected</t>
        </is>
      </c>
      <c r="X90" t="inlineStr">
        <is>
          <t>Connected=1; Connected &amp; previewing=1; Disconnected=0; Empty=0; Off=0; Previewing=0</t>
        </is>
      </c>
    </row>
    <row r="91">
      <c r="A91" s="71" t="n">
        <v>87</v>
      </c>
      <c r="B91" s="72" t="inlineStr">
        <is>
          <t>1784313900038</t>
        </is>
      </c>
      <c r="C91" t="inlineStr">
        <is>
          <t>button_connect</t>
        </is>
      </c>
      <c r="D91" s="71" t="n">
        <v>38</v>
      </c>
      <c r="E91" t="inlineStr">
        <is>
          <t>G6-1</t>
        </is>
      </c>
      <c r="F91" t="inlineStr">
        <is>
          <t>Grid 1 Track 6</t>
        </is>
      </c>
      <c r="G91" t="inlineStr">
        <is>
          <t>note</t>
        </is>
      </c>
      <c r="H91" s="72" t="n">
        <v>37</v>
      </c>
      <c r="I91" s="72" t="n">
        <v>1</v>
      </c>
      <c r="J91" s="72" t="inlineStr">
        <is>
          <t>72057594037937552</t>
        </is>
      </c>
      <c r="K91" t="inlineStr">
        <is>
          <t>N37/C1</t>
        </is>
      </c>
      <c r="L91" t="inlineStr">
        <is>
          <t>/composition/layers/38/clips/1/connect</t>
        </is>
      </c>
      <c r="M91" s="71" t="n">
        <v>1028</v>
      </c>
      <c r="N91" t="inlineStr">
        <is>
          <t>Button / value</t>
        </is>
      </c>
      <c r="O91" s="73" t="n"/>
      <c r="P91" s="73" t="n"/>
      <c r="R91" s="71" t="n">
        <v>128</v>
      </c>
      <c r="S91" s="71" t="n">
        <v>0</v>
      </c>
      <c r="T91" t="inlineStr">
        <is>
          <t>APC40 mkII</t>
        </is>
      </c>
      <c r="U91" t="inlineStr">
        <is>
          <t>/composition/layers/38/clips/1/connect</t>
        </is>
      </c>
      <c r="V91" t="inlineStr">
        <is>
          <t>/composition/layers/38/clips/1/connected</t>
        </is>
      </c>
      <c r="W91" t="inlineStr">
        <is>
          <t>/composition/layers/38/clips/1/connected</t>
        </is>
      </c>
      <c r="X91" t="inlineStr">
        <is>
          <t>Connected=0.38582677165354328785; Connected &amp; previewing=0.38582677165354328785; Disconnected=0; Empty=0; Off=0; Previewing=0</t>
        </is>
      </c>
    </row>
    <row r="92">
      <c r="A92" s="71" t="n">
        <v>88</v>
      </c>
      <c r="B92" s="72" t="inlineStr">
        <is>
          <t>1784313901144</t>
        </is>
      </c>
      <c r="C92" t="inlineStr">
        <is>
          <t>wake</t>
        </is>
      </c>
      <c r="D92" s="71" t="n">
        <v>144</v>
      </c>
      <c r="E92" t="inlineStr">
        <is>
          <t>X-FADE</t>
        </is>
      </c>
      <c r="F92" t="inlineStr">
        <is>
          <t>Crossfader</t>
        </is>
      </c>
      <c r="G92" t="inlineStr">
        <is>
          <t>cc</t>
        </is>
      </c>
      <c r="H92" s="72" t="n">
        <v>15</v>
      </c>
      <c r="I92" s="72" t="n">
        <v>1</v>
      </c>
      <c r="J92" s="72" t="inlineStr">
        <is>
          <t>144115188075859888</t>
        </is>
      </c>
      <c r="K92" t="inlineStr">
        <is>
          <t>CC15/C1</t>
        </is>
      </c>
      <c r="L92" t="inlineStr">
        <is>
          <t>/composition/layers/144/clips/1/connect</t>
        </is>
      </c>
      <c r="M92" s="71" t="n">
        <v>1028</v>
      </c>
      <c r="N92" t="inlineStr">
        <is>
          <t>CC wake</t>
        </is>
      </c>
      <c r="O92" s="73" t="n"/>
      <c r="P92" s="73" t="n"/>
      <c r="R92" s="71" t="n">
        <v>128</v>
      </c>
      <c r="S92" s="71" t="n">
        <v>1</v>
      </c>
      <c r="U92" t="inlineStr">
        <is>
          <t>/composition/layers/144/clips/1/connect</t>
        </is>
      </c>
      <c r="X92" t="inlineStr">
        <is>
          <t>Disconnected=1</t>
        </is>
      </c>
    </row>
    <row r="93">
      <c r="A93" s="71" t="n">
        <v>89</v>
      </c>
      <c r="B93" s="72" t="inlineStr">
        <is>
          <t>1784313900144</t>
        </is>
      </c>
      <c r="C93" t="inlineStr">
        <is>
          <t>opacity</t>
        </is>
      </c>
      <c r="D93" s="71" t="n">
        <v>144</v>
      </c>
      <c r="E93" t="inlineStr">
        <is>
          <t>X-FADE</t>
        </is>
      </c>
      <c r="F93" t="inlineStr">
        <is>
          <t>Crossfader</t>
        </is>
      </c>
      <c r="G93" t="inlineStr">
        <is>
          <t>cc</t>
        </is>
      </c>
      <c r="H93" s="72" t="n">
        <v>15</v>
      </c>
      <c r="I93" s="72" t="n">
        <v>1</v>
      </c>
      <c r="J93" s="72" t="inlineStr">
        <is>
          <t>144115188075859888</t>
        </is>
      </c>
      <c r="K93" t="inlineStr">
        <is>
          <t>CC15/C1</t>
        </is>
      </c>
      <c r="L93" t="inlineStr">
        <is>
          <t>/composition/layers/144/clips/1/video/opacity</t>
        </is>
      </c>
      <c r="M93" s="71" t="n">
        <v>8</v>
      </c>
      <c r="N93" t="inlineStr">
        <is>
          <t>Absolute</t>
        </is>
      </c>
      <c r="O93" s="73" t="n">
        <v>0.65</v>
      </c>
      <c r="P93" s="73" t="n">
        <v>1</v>
      </c>
      <c r="Q93" t="inlineStr">
        <is>
          <t>ascending</t>
        </is>
      </c>
      <c r="R93" s="71" t="n">
        <v>128</v>
      </c>
      <c r="S93" s="71" t="n">
        <v>1</v>
      </c>
      <c r="U93" t="inlineStr">
        <is>
          <t>/composition/layers/144/clips/1/video/opacity</t>
        </is>
      </c>
    </row>
    <row r="94">
      <c r="A94" s="71" t="n">
        <v>90</v>
      </c>
      <c r="B94" s="72" t="inlineStr">
        <is>
          <t>1784313902144</t>
        </is>
      </c>
      <c r="C94" t="inlineStr">
        <is>
          <t>motion_x</t>
        </is>
      </c>
      <c r="D94" s="71" t="n">
        <v>144</v>
      </c>
      <c r="E94" t="inlineStr">
        <is>
          <t>X-FADE</t>
        </is>
      </c>
      <c r="F94" t="inlineStr">
        <is>
          <t>Crossfader</t>
        </is>
      </c>
      <c r="G94" t="inlineStr">
        <is>
          <t>cc</t>
        </is>
      </c>
      <c r="H94" s="72" t="n">
        <v>15</v>
      </c>
      <c r="I94" s="72" t="n">
        <v>1</v>
      </c>
      <c r="J94" s="72" t="inlineStr">
        <is>
          <t>144115188075859888</t>
        </is>
      </c>
      <c r="K94" t="inlineStr">
        <is>
          <t>CC15/C1</t>
        </is>
      </c>
      <c r="L94" t="inlineStr">
        <is>
          <t>/composition/layers/144/clips/1/video/effects/transform/positionx</t>
        </is>
      </c>
      <c r="M94" s="71" t="n">
        <v>8</v>
      </c>
      <c r="N94" t="inlineStr">
        <is>
          <t>Absolute</t>
        </is>
      </c>
      <c r="O94" s="73" t="n">
        <v>0.508819580078</v>
      </c>
      <c r="P94" s="73" t="n">
        <v>0.510620117188</v>
      </c>
      <c r="Q94" t="inlineStr">
        <is>
          <t>ascending</t>
        </is>
      </c>
      <c r="R94" s="71" t="n">
        <v>128</v>
      </c>
      <c r="S94" s="71" t="n">
        <v>1</v>
      </c>
      <c r="U94" t="inlineStr">
        <is>
          <t>/composition/layers/144/clips/1/video/effects/transform/positionx</t>
        </is>
      </c>
    </row>
    <row r="95">
      <c r="A95" s="71" t="n">
        <v>91</v>
      </c>
      <c r="B95" s="72" t="inlineStr">
        <is>
          <t>1784313901143</t>
        </is>
      </c>
      <c r="C95" t="inlineStr">
        <is>
          <t>wake</t>
        </is>
      </c>
      <c r="D95" s="71" t="n">
        <v>143</v>
      </c>
      <c r="E95" t="inlineStr">
        <is>
          <t>MASTER</t>
        </is>
      </c>
      <c r="F95" t="inlineStr">
        <is>
          <t>Master Fader</t>
        </is>
      </c>
      <c r="G95" t="inlineStr">
        <is>
          <t>cc</t>
        </is>
      </c>
      <c r="H95" s="72" t="n">
        <v>14</v>
      </c>
      <c r="I95" s="72" t="n">
        <v>1</v>
      </c>
      <c r="J95" s="72" t="inlineStr">
        <is>
          <t>144115188075859632</t>
        </is>
      </c>
      <c r="K95" t="inlineStr">
        <is>
          <t>CC14/C1</t>
        </is>
      </c>
      <c r="L95" t="inlineStr">
        <is>
          <t>/composition/layers/143/clips/1/connect</t>
        </is>
      </c>
      <c r="M95" s="71" t="n">
        <v>1028</v>
      </c>
      <c r="N95" t="inlineStr">
        <is>
          <t>CC wake</t>
        </is>
      </c>
      <c r="O95" s="73" t="n"/>
      <c r="P95" s="73" t="n"/>
      <c r="R95" s="71" t="n">
        <v>128</v>
      </c>
      <c r="S95" s="71" t="n">
        <v>1</v>
      </c>
      <c r="U95" t="inlineStr">
        <is>
          <t>/composition/layers/143/clips/1/connect</t>
        </is>
      </c>
      <c r="X95" t="inlineStr">
        <is>
          <t>Disconnected=1</t>
        </is>
      </c>
    </row>
    <row r="96">
      <c r="A96" s="71" t="n">
        <v>92</v>
      </c>
      <c r="B96" s="72" t="inlineStr">
        <is>
          <t>1784313900143</t>
        </is>
      </c>
      <c r="C96" t="inlineStr">
        <is>
          <t>opacity</t>
        </is>
      </c>
      <c r="D96" s="71" t="n">
        <v>143</v>
      </c>
      <c r="E96" t="inlineStr">
        <is>
          <t>MASTER</t>
        </is>
      </c>
      <c r="F96" t="inlineStr">
        <is>
          <t>Master Fader</t>
        </is>
      </c>
      <c r="G96" t="inlineStr">
        <is>
          <t>cc</t>
        </is>
      </c>
      <c r="H96" s="72" t="n">
        <v>14</v>
      </c>
      <c r="I96" s="72" t="n">
        <v>1</v>
      </c>
      <c r="J96" s="72" t="inlineStr">
        <is>
          <t>144115188075859632</t>
        </is>
      </c>
      <c r="K96" t="inlineStr">
        <is>
          <t>CC14/C1</t>
        </is>
      </c>
      <c r="L96" t="inlineStr">
        <is>
          <t>/composition/layers/143/clips/1/video/opacity</t>
        </is>
      </c>
      <c r="M96" s="71" t="n">
        <v>8</v>
      </c>
      <c r="N96" t="inlineStr">
        <is>
          <t>Absolute</t>
        </is>
      </c>
      <c r="O96" s="73" t="n">
        <v>0.65</v>
      </c>
      <c r="P96" s="73" t="n">
        <v>1</v>
      </c>
      <c r="Q96" t="inlineStr">
        <is>
          <t>ascending</t>
        </is>
      </c>
      <c r="R96" s="71" t="n">
        <v>128</v>
      </c>
      <c r="S96" s="71" t="n">
        <v>1</v>
      </c>
      <c r="U96" t="inlineStr">
        <is>
          <t>/composition/layers/143/clips/1/video/opacity</t>
        </is>
      </c>
    </row>
    <row r="97">
      <c r="A97" s="71" t="n">
        <v>93</v>
      </c>
      <c r="B97" s="72" t="inlineStr">
        <is>
          <t>1784313902143</t>
        </is>
      </c>
      <c r="C97" t="inlineStr">
        <is>
          <t>motion_y</t>
        </is>
      </c>
      <c r="D97" s="71" t="n">
        <v>143</v>
      </c>
      <c r="E97" t="inlineStr">
        <is>
          <t>MASTER</t>
        </is>
      </c>
      <c r="F97" t="inlineStr">
        <is>
          <t>Master Fader</t>
        </is>
      </c>
      <c r="G97" t="inlineStr">
        <is>
          <t>cc</t>
        </is>
      </c>
      <c r="H97" s="72" t="n">
        <v>14</v>
      </c>
      <c r="I97" s="72" t="n">
        <v>1</v>
      </c>
      <c r="J97" s="72" t="inlineStr">
        <is>
          <t>144115188075859632</t>
        </is>
      </c>
      <c r="K97" t="inlineStr">
        <is>
          <t>CC14/C1</t>
        </is>
      </c>
      <c r="L97" t="inlineStr">
        <is>
          <t>/composition/layers/143/clips/1/video/effects/transform/positiony</t>
        </is>
      </c>
      <c r="M97" s="71" t="n">
        <v>8</v>
      </c>
      <c r="N97" t="inlineStr">
        <is>
          <t>Absolute</t>
        </is>
      </c>
      <c r="O97" s="73" t="n">
        <v>0.506629943848</v>
      </c>
      <c r="P97" s="73" t="n">
        <v>0.504295349121</v>
      </c>
      <c r="Q97" t="inlineStr">
        <is>
          <t>descending</t>
        </is>
      </c>
      <c r="R97" s="71" t="n">
        <v>128</v>
      </c>
      <c r="S97" s="71" t="n">
        <v>1</v>
      </c>
      <c r="U97" t="inlineStr">
        <is>
          <t>/composition/layers/143/clips/1/video/effects/transform/positiony</t>
        </is>
      </c>
    </row>
    <row r="98">
      <c r="A98" s="71" t="n">
        <v>94</v>
      </c>
      <c r="B98" s="72" t="inlineStr">
        <is>
          <t>1784313900080</t>
        </is>
      </c>
      <c r="C98" t="inlineStr">
        <is>
          <t>button_connect</t>
        </is>
      </c>
      <c r="D98" s="71" t="n">
        <v>80</v>
      </c>
      <c r="E98" t="inlineStr">
        <is>
          <t>3</t>
        </is>
      </c>
      <c r="F98" t="inlineStr">
        <is>
          <t>Activator 3</t>
        </is>
      </c>
      <c r="G98" t="inlineStr">
        <is>
          <t>note</t>
        </is>
      </c>
      <c r="H98" s="72" t="n">
        <v>50</v>
      </c>
      <c r="I98" s="72" t="n">
        <v>3</v>
      </c>
      <c r="J98" s="72" t="inlineStr">
        <is>
          <t>72057594037940882</t>
        </is>
      </c>
      <c r="K98" t="inlineStr">
        <is>
          <t>N50/C3</t>
        </is>
      </c>
      <c r="L98" t="inlineStr">
        <is>
          <t>/composition/layers/80/clips/1/connect</t>
        </is>
      </c>
      <c r="M98" s="71" t="n">
        <v>1028</v>
      </c>
      <c r="N98" t="inlineStr">
        <is>
          <t>Button / value</t>
        </is>
      </c>
      <c r="O98" s="73" t="n"/>
      <c r="P98" s="73" t="n"/>
      <c r="R98" s="71" t="n">
        <v>128</v>
      </c>
      <c r="S98" s="71" t="n">
        <v>0</v>
      </c>
      <c r="T98" t="inlineStr">
        <is>
          <t>APC40 mkII</t>
        </is>
      </c>
      <c r="U98" t="inlineStr">
        <is>
          <t>/composition/layers/80/clips/1/connect</t>
        </is>
      </c>
      <c r="V98" t="inlineStr">
        <is>
          <t>/composition/layers/80/clips/1/connected</t>
        </is>
      </c>
      <c r="W98" t="inlineStr">
        <is>
          <t>/composition/layers/80/clips/1/connected</t>
        </is>
      </c>
      <c r="X98" t="inlineStr">
        <is>
          <t>Connected=0.16535433070866142891; Connected &amp; previewing=0.16535433070866142891; Disconnected=0; Empty=0; Off=0; Previewing=0</t>
        </is>
      </c>
    </row>
    <row r="99">
      <c r="A99" s="71" t="n">
        <v>95</v>
      </c>
      <c r="B99" s="72" t="inlineStr">
        <is>
          <t>1784313900028</t>
        </is>
      </c>
      <c r="C99" t="inlineStr">
        <is>
          <t>button_connect</t>
        </is>
      </c>
      <c r="D99" s="71" t="n">
        <v>28</v>
      </c>
      <c r="E99" t="inlineStr">
        <is>
          <t>G4-2</t>
        </is>
      </c>
      <c r="F99" t="inlineStr">
        <is>
          <t>Grid 2 Track 4</t>
        </is>
      </c>
      <c r="G99" t="inlineStr">
        <is>
          <t>note</t>
        </is>
      </c>
      <c r="H99" s="72" t="n">
        <v>27</v>
      </c>
      <c r="I99" s="72" t="n">
        <v>1</v>
      </c>
      <c r="J99" s="72" t="inlineStr">
        <is>
          <t>72057594037934992</t>
        </is>
      </c>
      <c r="K99" t="inlineStr">
        <is>
          <t>N27/C1</t>
        </is>
      </c>
      <c r="L99" t="inlineStr">
        <is>
          <t>/composition/layers/28/clips/1/connect</t>
        </is>
      </c>
      <c r="M99" s="71" t="n">
        <v>1028</v>
      </c>
      <c r="N99" t="inlineStr">
        <is>
          <t>Button / value</t>
        </is>
      </c>
      <c r="O99" s="73" t="n"/>
      <c r="P99" s="73" t="n"/>
      <c r="R99" s="71" t="n">
        <v>128</v>
      </c>
      <c r="S99" s="71" t="n">
        <v>0</v>
      </c>
      <c r="T99" t="inlineStr">
        <is>
          <t>APC40 mkII</t>
        </is>
      </c>
      <c r="U99" t="inlineStr">
        <is>
          <t>/composition/layers/28/clips/1/connect</t>
        </is>
      </c>
      <c r="V99" t="inlineStr">
        <is>
          <t>/composition/layers/28/clips/1/connected</t>
        </is>
      </c>
      <c r="W99" t="inlineStr">
        <is>
          <t>/composition/layers/28/clips/1/connected</t>
        </is>
      </c>
      <c r="X99" t="inlineStr">
        <is>
          <t>Connected=0.039370078740157479769; Connected &amp; previewing=0.039370078740157479769; Disconnected=0; Empty=0; Off=0; Previewing=0</t>
        </is>
      </c>
    </row>
    <row r="100">
      <c r="A100" s="71" t="n">
        <v>96</v>
      </c>
      <c r="B100" s="72" t="inlineStr">
        <is>
          <t>1784313900079</t>
        </is>
      </c>
      <c r="C100" t="inlineStr">
        <is>
          <t>button_connect</t>
        </is>
      </c>
      <c r="D100" s="71" t="n">
        <v>79</v>
      </c>
      <c r="E100" t="inlineStr">
        <is>
          <t>2</t>
        </is>
      </c>
      <c r="F100" t="inlineStr">
        <is>
          <t>Activator 2</t>
        </is>
      </c>
      <c r="G100" t="inlineStr">
        <is>
          <t>note</t>
        </is>
      </c>
      <c r="H100" s="72" t="n">
        <v>50</v>
      </c>
      <c r="I100" s="72" t="n">
        <v>2</v>
      </c>
      <c r="J100" s="72" t="inlineStr">
        <is>
          <t>72057594037940881</t>
        </is>
      </c>
      <c r="K100" t="inlineStr">
        <is>
          <t>N50/C2</t>
        </is>
      </c>
      <c r="L100" t="inlineStr">
        <is>
          <t>/composition/layers/79/clips/1/connect</t>
        </is>
      </c>
      <c r="M100" s="71" t="n">
        <v>1028</v>
      </c>
      <c r="N100" t="inlineStr">
        <is>
          <t>Button / value</t>
        </is>
      </c>
      <c r="O100" s="73" t="n"/>
      <c r="P100" s="73" t="n"/>
      <c r="R100" s="71" t="n">
        <v>128</v>
      </c>
      <c r="S100" s="71" t="n">
        <v>0</v>
      </c>
      <c r="T100" t="inlineStr">
        <is>
          <t>APC40 mkII</t>
        </is>
      </c>
      <c r="U100" t="inlineStr">
        <is>
          <t>/composition/layers/79/clips/1/connect</t>
        </is>
      </c>
      <c r="V100" t="inlineStr">
        <is>
          <t>/composition/layers/79/clips/1/connected</t>
        </is>
      </c>
      <c r="W100" t="inlineStr">
        <is>
          <t>/composition/layers/79/clips/1/connected</t>
        </is>
      </c>
      <c r="X100" t="inlineStr">
        <is>
          <t>Connected=0.16535433070866142891; Connected &amp; previewing=0.16535433070866142891; Disconnected=0; Empty=0; Off=0; Previewing=0</t>
        </is>
      </c>
    </row>
    <row r="101">
      <c r="A101" s="71" t="n">
        <v>97</v>
      </c>
      <c r="B101" s="72" t="inlineStr">
        <is>
          <t>1784313900069</t>
        </is>
      </c>
      <c r="C101" t="inlineStr">
        <is>
          <t>button_connect</t>
        </is>
      </c>
      <c r="D101" s="71" t="n">
        <v>69</v>
      </c>
      <c r="E101" t="inlineStr">
        <is>
          <t>●</t>
        </is>
      </c>
      <c r="F101" t="inlineStr">
        <is>
          <t>Record Arm 8</t>
        </is>
      </c>
      <c r="G101" t="inlineStr">
        <is>
          <t>note</t>
        </is>
      </c>
      <c r="H101" s="72" t="n">
        <v>48</v>
      </c>
      <c r="I101" s="72" t="n">
        <v>8</v>
      </c>
      <c r="J101" s="72" t="inlineStr">
        <is>
          <t>72057594037940375</t>
        </is>
      </c>
      <c r="K101" t="inlineStr">
        <is>
          <t>N48/C8</t>
        </is>
      </c>
      <c r="L101" t="inlineStr">
        <is>
          <t>/composition/layers/69/clips/1/connect</t>
        </is>
      </c>
      <c r="M101" s="71" t="n">
        <v>1028</v>
      </c>
      <c r="N101" t="inlineStr">
        <is>
          <t>Button / value</t>
        </is>
      </c>
      <c r="O101" s="73" t="n"/>
      <c r="P101" s="73" t="n"/>
      <c r="R101" s="71" t="n">
        <v>128</v>
      </c>
      <c r="S101" s="71" t="n">
        <v>0</v>
      </c>
      <c r="T101" t="inlineStr">
        <is>
          <t>APC40 mkII</t>
        </is>
      </c>
      <c r="U101" t="inlineStr">
        <is>
          <t>/composition/layers/69/clips/1/connect</t>
        </is>
      </c>
      <c r="V101" t="inlineStr">
        <is>
          <t>/composition/layers/69/clips/1/connected</t>
        </is>
      </c>
      <c r="W101" t="inlineStr">
        <is>
          <t>/composition/layers/69/clips/1/connected</t>
        </is>
      </c>
      <c r="X101" t="inlineStr">
        <is>
          <t>Connected=0.039370078740157479769; Connected &amp; previewing=0.039370078740157479769; Disconnected=0; Empty=0; Off=0; Previewing=0</t>
        </is>
      </c>
    </row>
    <row r="102">
      <c r="A102" s="71" t="n">
        <v>98</v>
      </c>
      <c r="B102" s="72" t="inlineStr">
        <is>
          <t>1784313900146</t>
        </is>
      </c>
      <c r="C102" t="inlineStr">
        <is>
          <t>button_connect</t>
        </is>
      </c>
      <c r="D102" s="71" t="n">
        <v>146</v>
      </c>
      <c r="E102" t="inlineStr">
        <is>
          <t>MASTER</t>
        </is>
      </c>
      <c r="F102" t="inlineStr">
        <is>
          <t>Master Select</t>
        </is>
      </c>
      <c r="G102" t="inlineStr">
        <is>
          <t>note</t>
        </is>
      </c>
      <c r="H102" s="72" t="n">
        <v>80</v>
      </c>
      <c r="I102" s="72" t="n">
        <v>1</v>
      </c>
      <c r="J102" s="72" t="inlineStr">
        <is>
          <t>72057594037948560</t>
        </is>
      </c>
      <c r="K102" t="inlineStr">
        <is>
          <t>N80/C1</t>
        </is>
      </c>
      <c r="L102" t="inlineStr">
        <is>
          <t>/composition/layers/146/clips/1/connect</t>
        </is>
      </c>
      <c r="M102" s="71" t="n">
        <v>1028</v>
      </c>
      <c r="N102" t="inlineStr">
        <is>
          <t>Button / value</t>
        </is>
      </c>
      <c r="O102" s="73" t="n"/>
      <c r="P102" s="73" t="n"/>
      <c r="R102" s="71" t="n">
        <v>128</v>
      </c>
      <c r="S102" s="71" t="n">
        <v>0</v>
      </c>
      <c r="T102" t="inlineStr">
        <is>
          <t>APC40 mkII</t>
        </is>
      </c>
      <c r="U102" t="inlineStr">
        <is>
          <t>/composition/layers/146/clips/1/connect</t>
        </is>
      </c>
      <c r="V102" t="inlineStr">
        <is>
          <t>/composition/layers/146/clips/1/connected</t>
        </is>
      </c>
      <c r="W102" t="inlineStr">
        <is>
          <t>/composition/layers/146/clips/1/connected</t>
        </is>
      </c>
      <c r="X102" t="inlineStr">
        <is>
          <t>Connected=0.35433070866141730404; Connected &amp; previewing=0.35433070866141730404; Disconnected=0; Empty=0; Off=0; Previewing=0</t>
        </is>
      </c>
    </row>
    <row r="103">
      <c r="A103" s="71" t="n">
        <v>99</v>
      </c>
      <c r="B103" s="72" t="inlineStr">
        <is>
          <t>1784313900077</t>
        </is>
      </c>
      <c r="C103" t="inlineStr">
        <is>
          <t>button_connect</t>
        </is>
      </c>
      <c r="D103" s="71" t="n">
        <v>77</v>
      </c>
      <c r="E103" t="inlineStr">
        <is>
          <t>S</t>
        </is>
      </c>
      <c r="F103" t="inlineStr">
        <is>
          <t>Solo 8</t>
        </is>
      </c>
      <c r="G103" t="inlineStr">
        <is>
          <t>note</t>
        </is>
      </c>
      <c r="H103" s="72" t="n">
        <v>49</v>
      </c>
      <c r="I103" s="72" t="n">
        <v>8</v>
      </c>
      <c r="J103" s="72" t="inlineStr">
        <is>
          <t>72057594037940631</t>
        </is>
      </c>
      <c r="K103" t="inlineStr">
        <is>
          <t>N49/C8</t>
        </is>
      </c>
      <c r="L103" t="inlineStr">
        <is>
          <t>/composition/layers/77/clips/1/connect</t>
        </is>
      </c>
      <c r="M103" s="71" t="n">
        <v>1028</v>
      </c>
      <c r="N103" t="inlineStr">
        <is>
          <t>Button / value</t>
        </is>
      </c>
      <c r="O103" s="73" t="n"/>
      <c r="P103" s="73" t="n"/>
      <c r="R103" s="71" t="n">
        <v>128</v>
      </c>
      <c r="S103" s="71" t="n">
        <v>0</v>
      </c>
      <c r="T103" t="inlineStr">
        <is>
          <t>APC40 mkII</t>
        </is>
      </c>
      <c r="U103" t="inlineStr">
        <is>
          <t>/composition/layers/77/clips/1/connect</t>
        </is>
      </c>
      <c r="V103" t="inlineStr">
        <is>
          <t>/composition/layers/77/clips/1/connected</t>
        </is>
      </c>
      <c r="W103" t="inlineStr">
        <is>
          <t>/composition/layers/77/clips/1/connected</t>
        </is>
      </c>
      <c r="X103" t="inlineStr">
        <is>
          <t>Connected=1; Connected &amp; previewing=1; Disconnected=0; Empty=0; Off=0; Previewing=0</t>
        </is>
      </c>
    </row>
    <row r="104">
      <c r="A104" s="71" t="n">
        <v>100</v>
      </c>
      <c r="B104" s="72" t="inlineStr">
        <is>
          <t>1784313900073</t>
        </is>
      </c>
      <c r="C104" t="inlineStr">
        <is>
          <t>button_connect</t>
        </is>
      </c>
      <c r="D104" s="71" t="n">
        <v>73</v>
      </c>
      <c r="E104" t="inlineStr">
        <is>
          <t>S</t>
        </is>
      </c>
      <c r="F104" t="inlineStr">
        <is>
          <t>Solo 4</t>
        </is>
      </c>
      <c r="G104" t="inlineStr">
        <is>
          <t>note</t>
        </is>
      </c>
      <c r="H104" s="72" t="n">
        <v>49</v>
      </c>
      <c r="I104" s="72" t="n">
        <v>4</v>
      </c>
      <c r="J104" s="72" t="inlineStr">
        <is>
          <t>72057594037940627</t>
        </is>
      </c>
      <c r="K104" t="inlineStr">
        <is>
          <t>N49/C4</t>
        </is>
      </c>
      <c r="L104" t="inlineStr">
        <is>
          <t>/composition/layers/73/clips/1/connect</t>
        </is>
      </c>
      <c r="M104" s="71" t="n">
        <v>1028</v>
      </c>
      <c r="N104" t="inlineStr">
        <is>
          <t>Button / value</t>
        </is>
      </c>
      <c r="O104" s="73" t="n"/>
      <c r="P104" s="73" t="n"/>
      <c r="R104" s="71" t="n">
        <v>128</v>
      </c>
      <c r="S104" s="71" t="n">
        <v>0</v>
      </c>
      <c r="T104" t="inlineStr">
        <is>
          <t>APC40 mkII</t>
        </is>
      </c>
      <c r="U104" t="inlineStr">
        <is>
          <t>/composition/layers/73/clips/1/connect</t>
        </is>
      </c>
      <c r="V104" t="inlineStr">
        <is>
          <t>/composition/layers/73/clips/1/connected</t>
        </is>
      </c>
      <c r="W104" t="inlineStr">
        <is>
          <t>/composition/layers/73/clips/1/connected</t>
        </is>
      </c>
      <c r="X104" t="inlineStr">
        <is>
          <t>Connected=1; Connected &amp; previewing=1; Disconnected=0; Empty=0; Off=0; Previewing=0</t>
        </is>
      </c>
    </row>
    <row r="105">
      <c r="A105" s="71" t="n">
        <v>101</v>
      </c>
      <c r="B105" s="72" t="inlineStr">
        <is>
          <t>1784313900087</t>
        </is>
      </c>
      <c r="C105" t="inlineStr">
        <is>
          <t>button_connect</t>
        </is>
      </c>
      <c r="D105" s="71" t="n">
        <v>87</v>
      </c>
      <c r="E105" t="inlineStr">
        <is>
          <t>A/B</t>
        </is>
      </c>
      <c r="F105" t="inlineStr">
        <is>
          <t>Crossfade A B 2</t>
        </is>
      </c>
      <c r="G105" t="inlineStr">
        <is>
          <t>note</t>
        </is>
      </c>
      <c r="H105" s="72" t="n">
        <v>66</v>
      </c>
      <c r="I105" s="72" t="n">
        <v>2</v>
      </c>
      <c r="J105" s="72" t="inlineStr">
        <is>
          <t>72057594037944977</t>
        </is>
      </c>
      <c r="K105" t="inlineStr">
        <is>
          <t>N66/C2</t>
        </is>
      </c>
      <c r="L105" t="inlineStr">
        <is>
          <t>/composition/layers/87/clips/1/connect</t>
        </is>
      </c>
      <c r="M105" s="71" t="n">
        <v>1028</v>
      </c>
      <c r="N105" t="inlineStr">
        <is>
          <t>Button / value</t>
        </is>
      </c>
      <c r="O105" s="73" t="n"/>
      <c r="P105" s="73" t="n"/>
      <c r="R105" s="71" t="n">
        <v>128</v>
      </c>
      <c r="S105" s="71" t="n">
        <v>0</v>
      </c>
      <c r="T105" t="inlineStr">
        <is>
          <t>APC40 mkII</t>
        </is>
      </c>
      <c r="U105" t="inlineStr">
        <is>
          <t>/composition/layers/87/clips/1/connect</t>
        </is>
      </c>
      <c r="V105" t="inlineStr">
        <is>
          <t>/composition/layers/87/clips/1/connected</t>
        </is>
      </c>
      <c r="W105" t="inlineStr">
        <is>
          <t>/composition/layers/87/clips/1/connected</t>
        </is>
      </c>
      <c r="X105" t="inlineStr">
        <is>
          <t>Connected=0.070866141732283463583; Connected &amp; previewing=0.070866141732283463583; Disconnected=0; Empty=0; Off=0; Previewing=0</t>
        </is>
      </c>
    </row>
    <row r="106">
      <c r="A106" s="71" t="n">
        <v>102</v>
      </c>
      <c r="B106" s="72" t="inlineStr">
        <is>
          <t>1784313900136</t>
        </is>
      </c>
      <c r="C106" t="inlineStr">
        <is>
          <t>button_connect</t>
        </is>
      </c>
      <c r="D106" s="71" t="n">
        <v>136</v>
      </c>
      <c r="E106" t="inlineStr">
        <is>
          <t>LOCK</t>
        </is>
      </c>
      <c r="F106" t="inlineStr">
        <is>
          <t>Device Lock</t>
        </is>
      </c>
      <c r="G106" t="inlineStr">
        <is>
          <t>note</t>
        </is>
      </c>
      <c r="H106" s="72" t="n">
        <v>63</v>
      </c>
      <c r="I106" s="72" t="n">
        <v>1</v>
      </c>
      <c r="J106" s="72" t="inlineStr">
        <is>
          <t>72057594037944208</t>
        </is>
      </c>
      <c r="K106" t="inlineStr">
        <is>
          <t>N63/C1</t>
        </is>
      </c>
      <c r="L106" t="inlineStr">
        <is>
          <t>/composition/layers/136/clips/1/connect</t>
        </is>
      </c>
      <c r="M106" s="71" t="n">
        <v>1028</v>
      </c>
      <c r="N106" t="inlineStr">
        <is>
          <t>Button / value</t>
        </is>
      </c>
      <c r="O106" s="73" t="n"/>
      <c r="P106" s="73" t="n"/>
      <c r="R106" s="71" t="n">
        <v>128</v>
      </c>
      <c r="S106" s="71" t="n">
        <v>0</v>
      </c>
      <c r="T106" t="inlineStr">
        <is>
          <t>APC40 mkII</t>
        </is>
      </c>
      <c r="U106" t="inlineStr">
        <is>
          <t>/composition/layers/136/clips/1/connect</t>
        </is>
      </c>
      <c r="V106" t="inlineStr">
        <is>
          <t>/composition/layers/136/clips/1/connected</t>
        </is>
      </c>
      <c r="W106" t="inlineStr">
        <is>
          <t>/composition/layers/136/clips/1/connected</t>
        </is>
      </c>
      <c r="X106" t="inlineStr">
        <is>
          <t>Connected=0.38582677165354328785; Connected &amp; previewing=0.38582677165354328785; Disconnected=0; Empty=0; Off=0; Previewing=0</t>
        </is>
      </c>
    </row>
    <row r="107">
      <c r="A107" s="71" t="n">
        <v>103</v>
      </c>
      <c r="B107" s="72" t="inlineStr">
        <is>
          <t>1784313900091</t>
        </is>
      </c>
      <c r="C107" t="inlineStr">
        <is>
          <t>button_connect</t>
        </is>
      </c>
      <c r="D107" s="71" t="n">
        <v>91</v>
      </c>
      <c r="E107" t="inlineStr">
        <is>
          <t>A/B</t>
        </is>
      </c>
      <c r="F107" t="inlineStr">
        <is>
          <t>Crossfade A B 6</t>
        </is>
      </c>
      <c r="G107" t="inlineStr">
        <is>
          <t>note</t>
        </is>
      </c>
      <c r="H107" s="72" t="n">
        <v>66</v>
      </c>
      <c r="I107" s="72" t="n">
        <v>6</v>
      </c>
      <c r="J107" s="72" t="inlineStr">
        <is>
          <t>72057594037944981</t>
        </is>
      </c>
      <c r="K107" t="inlineStr">
        <is>
          <t>N66/C6</t>
        </is>
      </c>
      <c r="L107" t="inlineStr">
        <is>
          <t>/composition/layers/91/clips/1/connect</t>
        </is>
      </c>
      <c r="M107" s="71" t="n">
        <v>1028</v>
      </c>
      <c r="N107" t="inlineStr">
        <is>
          <t>Button / value</t>
        </is>
      </c>
      <c r="O107" s="73" t="n"/>
      <c r="P107" s="73" t="n"/>
      <c r="R107" s="71" t="n">
        <v>128</v>
      </c>
      <c r="S107" s="71" t="n">
        <v>0</v>
      </c>
      <c r="T107" t="inlineStr">
        <is>
          <t>APC40 mkII</t>
        </is>
      </c>
      <c r="U107" t="inlineStr">
        <is>
          <t>/composition/layers/91/clips/1/connect</t>
        </is>
      </c>
      <c r="V107" t="inlineStr">
        <is>
          <t>/composition/layers/91/clips/1/connected</t>
        </is>
      </c>
      <c r="W107" t="inlineStr">
        <is>
          <t>/composition/layers/91/clips/1/connected</t>
        </is>
      </c>
      <c r="X107" t="inlineStr">
        <is>
          <t>Connected=0.070866141732283463583; Connected &amp; previewing=0.070866141732283463583; Disconnected=0; Empty=0; Off=0; Previewing=0</t>
        </is>
      </c>
    </row>
    <row r="108">
      <c r="A108" s="71" t="n">
        <v>104</v>
      </c>
      <c r="B108" s="72" t="inlineStr">
        <is>
          <t>1784313900085</t>
        </is>
      </c>
      <c r="C108" t="inlineStr">
        <is>
          <t>button_connect</t>
        </is>
      </c>
      <c r="D108" s="71" t="n">
        <v>85</v>
      </c>
      <c r="E108" t="inlineStr">
        <is>
          <t>8</t>
        </is>
      </c>
      <c r="F108" t="inlineStr">
        <is>
          <t>Activator 8</t>
        </is>
      </c>
      <c r="G108" t="inlineStr">
        <is>
          <t>note</t>
        </is>
      </c>
      <c r="H108" s="72" t="n">
        <v>50</v>
      </c>
      <c r="I108" s="72" t="n">
        <v>8</v>
      </c>
      <c r="J108" s="72" t="inlineStr">
        <is>
          <t>72057594037940887</t>
        </is>
      </c>
      <c r="K108" t="inlineStr">
        <is>
          <t>N50/C8</t>
        </is>
      </c>
      <c r="L108" t="inlineStr">
        <is>
          <t>/composition/layers/85/clips/1/connect</t>
        </is>
      </c>
      <c r="M108" s="71" t="n">
        <v>1028</v>
      </c>
      <c r="N108" t="inlineStr">
        <is>
          <t>Button / value</t>
        </is>
      </c>
      <c r="O108" s="73" t="n"/>
      <c r="P108" s="73" t="n"/>
      <c r="R108" s="71" t="n">
        <v>128</v>
      </c>
      <c r="S108" s="71" t="n">
        <v>0</v>
      </c>
      <c r="T108" t="inlineStr">
        <is>
          <t>APC40 mkII</t>
        </is>
      </c>
      <c r="U108" t="inlineStr">
        <is>
          <t>/composition/layers/85/clips/1/connect</t>
        </is>
      </c>
      <c r="V108" t="inlineStr">
        <is>
          <t>/composition/layers/85/clips/1/connected</t>
        </is>
      </c>
      <c r="W108" t="inlineStr">
        <is>
          <t>/composition/layers/85/clips/1/connected</t>
        </is>
      </c>
      <c r="X108" t="inlineStr">
        <is>
          <t>Connected=0.16535433070866142891; Connected &amp; previewing=0.16535433070866142891; Disconnected=0; Empty=0; Off=0; Previewing=0</t>
        </is>
      </c>
    </row>
    <row r="109">
      <c r="A109" s="71" t="n">
        <v>105</v>
      </c>
      <c r="B109" s="72" t="inlineStr">
        <is>
          <t>1784313901099</t>
        </is>
      </c>
      <c r="C109" t="inlineStr">
        <is>
          <t>wake</t>
        </is>
      </c>
      <c r="D109" s="71" t="n">
        <v>99</v>
      </c>
      <c r="E109" t="inlineStr">
        <is>
          <t>FADER6</t>
        </is>
      </c>
      <c r="F109" t="inlineStr">
        <is>
          <t>Track Fader 6</t>
        </is>
      </c>
      <c r="G109" t="inlineStr">
        <is>
          <t>cc</t>
        </is>
      </c>
      <c r="H109" s="72" t="n">
        <v>7</v>
      </c>
      <c r="I109" s="72" t="n">
        <v>6</v>
      </c>
      <c r="J109" s="72" t="inlineStr">
        <is>
          <t>144115188075857845</t>
        </is>
      </c>
      <c r="K109" t="inlineStr">
        <is>
          <t>CC7/C6</t>
        </is>
      </c>
      <c r="L109" t="inlineStr">
        <is>
          <t>/composition/layers/99/clips/1/connect</t>
        </is>
      </c>
      <c r="M109" s="71" t="n">
        <v>1028</v>
      </c>
      <c r="N109" t="inlineStr">
        <is>
          <t>CC wake</t>
        </is>
      </c>
      <c r="O109" s="73" t="n"/>
      <c r="P109" s="73" t="n"/>
      <c r="R109" s="71" t="n">
        <v>128</v>
      </c>
      <c r="S109" s="71" t="n">
        <v>1</v>
      </c>
      <c r="U109" t="inlineStr">
        <is>
          <t>/composition/layers/99/clips/1/connect</t>
        </is>
      </c>
      <c r="X109" t="inlineStr">
        <is>
          <t>Disconnected=1</t>
        </is>
      </c>
    </row>
    <row r="110">
      <c r="A110" s="71" t="n">
        <v>106</v>
      </c>
      <c r="B110" s="72" t="inlineStr">
        <is>
          <t>1784313900099</t>
        </is>
      </c>
      <c r="C110" t="inlineStr">
        <is>
          <t>opacity</t>
        </is>
      </c>
      <c r="D110" s="71" t="n">
        <v>99</v>
      </c>
      <c r="E110" t="inlineStr">
        <is>
          <t>FADER6</t>
        </is>
      </c>
      <c r="F110" t="inlineStr">
        <is>
          <t>Track Fader 6</t>
        </is>
      </c>
      <c r="G110" t="inlineStr">
        <is>
          <t>cc</t>
        </is>
      </c>
      <c r="H110" s="72" t="n">
        <v>7</v>
      </c>
      <c r="I110" s="72" t="n">
        <v>6</v>
      </c>
      <c r="J110" s="72" t="inlineStr">
        <is>
          <t>144115188075857845</t>
        </is>
      </c>
      <c r="K110" t="inlineStr">
        <is>
          <t>CC7/C6</t>
        </is>
      </c>
      <c r="L110" t="inlineStr">
        <is>
          <t>/composition/layers/99/clips/1/video/opacity</t>
        </is>
      </c>
      <c r="M110" s="71" t="n">
        <v>8</v>
      </c>
      <c r="N110" t="inlineStr">
        <is>
          <t>Absolute</t>
        </is>
      </c>
      <c r="O110" s="73" t="n">
        <v>0.65</v>
      </c>
      <c r="P110" s="73" t="n">
        <v>1</v>
      </c>
      <c r="Q110" t="inlineStr">
        <is>
          <t>ascending</t>
        </is>
      </c>
      <c r="R110" s="71" t="n">
        <v>128</v>
      </c>
      <c r="S110" s="71" t="n">
        <v>1</v>
      </c>
      <c r="U110" t="inlineStr">
        <is>
          <t>/composition/layers/99/clips/1/video/opacity</t>
        </is>
      </c>
    </row>
    <row r="111">
      <c r="A111" s="71" t="n">
        <v>107</v>
      </c>
      <c r="B111" s="72" t="inlineStr">
        <is>
          <t>1784313902099</t>
        </is>
      </c>
      <c r="C111" t="inlineStr">
        <is>
          <t>motion_y</t>
        </is>
      </c>
      <c r="D111" s="71" t="n">
        <v>99</v>
      </c>
      <c r="E111" t="inlineStr">
        <is>
          <t>FADER6</t>
        </is>
      </c>
      <c r="F111" t="inlineStr">
        <is>
          <t>Track Fader 6</t>
        </is>
      </c>
      <c r="G111" t="inlineStr">
        <is>
          <t>cc</t>
        </is>
      </c>
      <c r="H111" s="72" t="n">
        <v>7</v>
      </c>
      <c r="I111" s="72" t="n">
        <v>6</v>
      </c>
      <c r="J111" s="72" t="inlineStr">
        <is>
          <t>144115188075857845</t>
        </is>
      </c>
      <c r="K111" t="inlineStr">
        <is>
          <t>CC7/C6</t>
        </is>
      </c>
      <c r="L111" t="inlineStr">
        <is>
          <t>/composition/layers/99/clips/1/video/effects/transform/positiony</t>
        </is>
      </c>
      <c r="M111" s="71" t="n">
        <v>8</v>
      </c>
      <c r="N111" t="inlineStr">
        <is>
          <t>Absolute</t>
        </is>
      </c>
      <c r="O111" s="73" t="n">
        <v>0.506629943848</v>
      </c>
      <c r="P111" s="73" t="n">
        <v>0.504295349121</v>
      </c>
      <c r="Q111" t="inlineStr">
        <is>
          <t>descending</t>
        </is>
      </c>
      <c r="R111" s="71" t="n">
        <v>128</v>
      </c>
      <c r="S111" s="71" t="n">
        <v>1</v>
      </c>
      <c r="U111" t="inlineStr">
        <is>
          <t>/composition/layers/99/clips/1/video/effects/transform/positiony</t>
        </is>
      </c>
    </row>
    <row r="112">
      <c r="A112" s="71" t="n">
        <v>108</v>
      </c>
      <c r="B112" s="72" t="inlineStr">
        <is>
          <t>1784313900075</t>
        </is>
      </c>
      <c r="C112" t="inlineStr">
        <is>
          <t>button_connect</t>
        </is>
      </c>
      <c r="D112" s="71" t="n">
        <v>75</v>
      </c>
      <c r="E112" t="inlineStr">
        <is>
          <t>S</t>
        </is>
      </c>
      <c r="F112" t="inlineStr">
        <is>
          <t>Solo 6</t>
        </is>
      </c>
      <c r="G112" t="inlineStr">
        <is>
          <t>note</t>
        </is>
      </c>
      <c r="H112" s="72" t="n">
        <v>49</v>
      </c>
      <c r="I112" s="72" t="n">
        <v>6</v>
      </c>
      <c r="J112" s="72" t="inlineStr">
        <is>
          <t>72057594037940629</t>
        </is>
      </c>
      <c r="K112" t="inlineStr">
        <is>
          <t>N49/C6</t>
        </is>
      </c>
      <c r="L112" t="inlineStr">
        <is>
          <t>/composition/layers/75/clips/1/connect</t>
        </is>
      </c>
      <c r="M112" s="71" t="n">
        <v>1028</v>
      </c>
      <c r="N112" t="inlineStr">
        <is>
          <t>Button / value</t>
        </is>
      </c>
      <c r="O112" s="73" t="n"/>
      <c r="P112" s="73" t="n"/>
      <c r="R112" s="71" t="n">
        <v>128</v>
      </c>
      <c r="S112" s="71" t="n">
        <v>0</v>
      </c>
      <c r="T112" t="inlineStr">
        <is>
          <t>APC40 mkII</t>
        </is>
      </c>
      <c r="U112" t="inlineStr">
        <is>
          <t>/composition/layers/75/clips/1/connect</t>
        </is>
      </c>
      <c r="V112" t="inlineStr">
        <is>
          <t>/composition/layers/75/clips/1/connected</t>
        </is>
      </c>
      <c r="W112" t="inlineStr">
        <is>
          <t>/composition/layers/75/clips/1/connected</t>
        </is>
      </c>
      <c r="X112" t="inlineStr">
        <is>
          <t>Connected=1; Connected &amp; previewing=1; Disconnected=0; Empty=0; Off=0; Previewing=0</t>
        </is>
      </c>
    </row>
    <row r="113">
      <c r="A113" s="71" t="n">
        <v>109</v>
      </c>
      <c r="B113" s="72" t="inlineStr">
        <is>
          <t>1784313901109</t>
        </is>
      </c>
      <c r="C113" t="inlineStr">
        <is>
          <t>wake</t>
        </is>
      </c>
      <c r="D113" s="71" t="n">
        <v>109</v>
      </c>
      <c r="E113" t="inlineStr">
        <is>
          <t>TRACK8</t>
        </is>
      </c>
      <c r="F113" t="inlineStr">
        <is>
          <t>Track Knob 8</t>
        </is>
      </c>
      <c r="G113" t="inlineStr">
        <is>
          <t>cc</t>
        </is>
      </c>
      <c r="H113" s="72" t="n">
        <v>55</v>
      </c>
      <c r="I113" s="72" t="n">
        <v>1</v>
      </c>
      <c r="J113" s="72" t="inlineStr">
        <is>
          <t>144115188075870128</t>
        </is>
      </c>
      <c r="K113" t="inlineStr">
        <is>
          <t>CC55/C1</t>
        </is>
      </c>
      <c r="L113" t="inlineStr">
        <is>
          <t>/composition/layers/109/clips/1/connect</t>
        </is>
      </c>
      <c r="M113" s="71" t="n">
        <v>1028</v>
      </c>
      <c r="N113" t="inlineStr">
        <is>
          <t>CC wake</t>
        </is>
      </c>
      <c r="O113" s="73" t="n"/>
      <c r="P113" s="73" t="n"/>
      <c r="R113" s="71" t="n">
        <v>128</v>
      </c>
      <c r="S113" s="71" t="n">
        <v>1</v>
      </c>
      <c r="U113" t="inlineStr">
        <is>
          <t>/composition/layers/109/clips/1/connect</t>
        </is>
      </c>
      <c r="X113" t="inlineStr">
        <is>
          <t>Disconnected=1</t>
        </is>
      </c>
    </row>
    <row r="114">
      <c r="A114" s="71" t="n">
        <v>110</v>
      </c>
      <c r="B114" s="72" t="inlineStr">
        <is>
          <t>1784313900109</t>
        </is>
      </c>
      <c r="C114" t="inlineStr">
        <is>
          <t>opacity</t>
        </is>
      </c>
      <c r="D114" s="71" t="n">
        <v>109</v>
      </c>
      <c r="E114" t="inlineStr">
        <is>
          <t>TRACK8</t>
        </is>
      </c>
      <c r="F114" t="inlineStr">
        <is>
          <t>Track Knob 8</t>
        </is>
      </c>
      <c r="G114" t="inlineStr">
        <is>
          <t>cc</t>
        </is>
      </c>
      <c r="H114" s="72" t="n">
        <v>55</v>
      </c>
      <c r="I114" s="72" t="n">
        <v>1</v>
      </c>
      <c r="J114" s="72" t="inlineStr">
        <is>
          <t>144115188075870128</t>
        </is>
      </c>
      <c r="K114" t="inlineStr">
        <is>
          <t>CC55/C1</t>
        </is>
      </c>
      <c r="L114" t="inlineStr">
        <is>
          <t>/composition/layers/109/clips/1/video/opacity</t>
        </is>
      </c>
      <c r="M114" s="71" t="n">
        <v>8</v>
      </c>
      <c r="N114" t="inlineStr">
        <is>
          <t>Absolute</t>
        </is>
      </c>
      <c r="O114" s="73" t="n">
        <v>0.35</v>
      </c>
      <c r="P114" s="73" t="n">
        <v>1</v>
      </c>
      <c r="Q114" t="inlineStr">
        <is>
          <t>ascending</t>
        </is>
      </c>
      <c r="R114" s="71" t="n">
        <v>128</v>
      </c>
      <c r="S114" s="71" t="n">
        <v>1</v>
      </c>
      <c r="U114" t="inlineStr">
        <is>
          <t>/composition/layers/109/clips/1/video/opacity</t>
        </is>
      </c>
    </row>
    <row r="115">
      <c r="A115" s="71" t="n">
        <v>111</v>
      </c>
      <c r="B115" s="72" t="inlineStr">
        <is>
          <t>1784313902109</t>
        </is>
      </c>
      <c r="C115" t="inlineStr">
        <is>
          <t>motion_rotation</t>
        </is>
      </c>
      <c r="D115" s="71" t="n">
        <v>109</v>
      </c>
      <c r="E115" t="inlineStr">
        <is>
          <t>TRACK8</t>
        </is>
      </c>
      <c r="F115" t="inlineStr">
        <is>
          <t>Track Knob 8</t>
        </is>
      </c>
      <c r="G115" t="inlineStr">
        <is>
          <t>cc</t>
        </is>
      </c>
      <c r="H115" s="72" t="n">
        <v>55</v>
      </c>
      <c r="I115" s="72" t="n">
        <v>1</v>
      </c>
      <c r="J115" s="72" t="inlineStr">
        <is>
          <t>144115188075870128</t>
        </is>
      </c>
      <c r="K115" t="inlineStr">
        <is>
          <t>CC55/C1</t>
        </is>
      </c>
      <c r="L115" t="inlineStr">
        <is>
          <t>/composition/layers/109/clips/1/video/effects/transform/rotationz</t>
        </is>
      </c>
      <c r="M115" s="71" t="n">
        <v>8</v>
      </c>
      <c r="N115" t="inlineStr">
        <is>
          <t>Absolute</t>
        </is>
      </c>
      <c r="O115" s="73" t="n">
        <v>0.125</v>
      </c>
      <c r="P115" s="73" t="n">
        <v>0.875</v>
      </c>
      <c r="Q115" t="inlineStr">
        <is>
          <t>ascending</t>
        </is>
      </c>
      <c r="R115" s="71" t="n">
        <v>128</v>
      </c>
      <c r="S115" s="71" t="n">
        <v>1</v>
      </c>
      <c r="U115" t="inlineStr">
        <is>
          <t>/composition/layers/109/clips/1/video/effects/transform/rotationz</t>
        </is>
      </c>
    </row>
    <row r="116">
      <c r="A116" s="71" t="n">
        <v>112</v>
      </c>
      <c r="B116" s="72" t="inlineStr">
        <is>
          <t>1784313900120</t>
        </is>
      </c>
      <c r="C116" t="inlineStr">
        <is>
          <t>button_connect</t>
        </is>
      </c>
      <c r="D116" s="71" t="n">
        <v>120</v>
      </c>
      <c r="E116" t="inlineStr">
        <is>
          <t>RECORD</t>
        </is>
      </c>
      <c r="F116" t="inlineStr">
        <is>
          <t>Record</t>
        </is>
      </c>
      <c r="G116" t="inlineStr">
        <is>
          <t>note</t>
        </is>
      </c>
      <c r="H116" s="72" t="n">
        <v>93</v>
      </c>
      <c r="I116" s="72" t="n">
        <v>1</v>
      </c>
      <c r="J116" s="72" t="inlineStr">
        <is>
          <t>72057594037951888</t>
        </is>
      </c>
      <c r="K116" t="inlineStr">
        <is>
          <t>N93/C1</t>
        </is>
      </c>
      <c r="L116" t="inlineStr">
        <is>
          <t>/composition/layers/120/clips/1/connect</t>
        </is>
      </c>
      <c r="M116" s="71" t="n">
        <v>1028</v>
      </c>
      <c r="N116" t="inlineStr">
        <is>
          <t>Button / value</t>
        </is>
      </c>
      <c r="O116" s="73" t="n"/>
      <c r="P116" s="73" t="n"/>
      <c r="R116" s="71" t="n">
        <v>128</v>
      </c>
      <c r="S116" s="71" t="n">
        <v>0</v>
      </c>
      <c r="T116" t="inlineStr">
        <is>
          <t>APC40 mkII</t>
        </is>
      </c>
      <c r="U116" t="inlineStr">
        <is>
          <t>/composition/layers/120/clips/1/connect</t>
        </is>
      </c>
      <c r="V116" t="inlineStr">
        <is>
          <t>/composition/layers/120/clips/1/connected</t>
        </is>
      </c>
      <c r="W116" t="inlineStr">
        <is>
          <t>/composition/layers/120/clips/1/connected</t>
        </is>
      </c>
      <c r="X116" t="inlineStr">
        <is>
          <t>Connected=0.039370078740157479769; Connected &amp; previewing=0.039370078740157479769; Disconnected=0; Empty=0; Off=0; Previewing=0</t>
        </is>
      </c>
    </row>
    <row r="117">
      <c r="A117" s="71" t="n">
        <v>113</v>
      </c>
      <c r="B117" s="72" t="inlineStr">
        <is>
          <t>1784313901106</t>
        </is>
      </c>
      <c r="C117" t="inlineStr">
        <is>
          <t>wake</t>
        </is>
      </c>
      <c r="D117" s="71" t="n">
        <v>106</v>
      </c>
      <c r="E117" t="inlineStr">
        <is>
          <t>TRACK5</t>
        </is>
      </c>
      <c r="F117" t="inlineStr">
        <is>
          <t>Track Knob 5</t>
        </is>
      </c>
      <c r="G117" t="inlineStr">
        <is>
          <t>cc</t>
        </is>
      </c>
      <c r="H117" s="72" t="n">
        <v>52</v>
      </c>
      <c r="I117" s="72" t="n">
        <v>1</v>
      </c>
      <c r="J117" s="72" t="inlineStr">
        <is>
          <t>144115188075869360</t>
        </is>
      </c>
      <c r="K117" t="inlineStr">
        <is>
          <t>CC52/C1</t>
        </is>
      </c>
      <c r="L117" t="inlineStr">
        <is>
          <t>/composition/layers/106/clips/1/connect</t>
        </is>
      </c>
      <c r="M117" s="71" t="n">
        <v>1028</v>
      </c>
      <c r="N117" t="inlineStr">
        <is>
          <t>CC wake</t>
        </is>
      </c>
      <c r="O117" s="73" t="n"/>
      <c r="P117" s="73" t="n"/>
      <c r="R117" s="71" t="n">
        <v>128</v>
      </c>
      <c r="S117" s="71" t="n">
        <v>1</v>
      </c>
      <c r="U117" t="inlineStr">
        <is>
          <t>/composition/layers/106/clips/1/connect</t>
        </is>
      </c>
      <c r="X117" t="inlineStr">
        <is>
          <t>Disconnected=1</t>
        </is>
      </c>
    </row>
    <row r="118">
      <c r="A118" s="71" t="n">
        <v>114</v>
      </c>
      <c r="B118" s="72" t="inlineStr">
        <is>
          <t>1784313900106</t>
        </is>
      </c>
      <c r="C118" t="inlineStr">
        <is>
          <t>opacity</t>
        </is>
      </c>
      <c r="D118" s="71" t="n">
        <v>106</v>
      </c>
      <c r="E118" t="inlineStr">
        <is>
          <t>TRACK5</t>
        </is>
      </c>
      <c r="F118" t="inlineStr">
        <is>
          <t>Track Knob 5</t>
        </is>
      </c>
      <c r="G118" t="inlineStr">
        <is>
          <t>cc</t>
        </is>
      </c>
      <c r="H118" s="72" t="n">
        <v>52</v>
      </c>
      <c r="I118" s="72" t="n">
        <v>1</v>
      </c>
      <c r="J118" s="72" t="inlineStr">
        <is>
          <t>144115188075869360</t>
        </is>
      </c>
      <c r="K118" t="inlineStr">
        <is>
          <t>CC52/C1</t>
        </is>
      </c>
      <c r="L118" t="inlineStr">
        <is>
          <t>/composition/layers/106/clips/1/video/opacity</t>
        </is>
      </c>
      <c r="M118" s="71" t="n">
        <v>8</v>
      </c>
      <c r="N118" t="inlineStr">
        <is>
          <t>Absolute</t>
        </is>
      </c>
      <c r="O118" s="73" t="n">
        <v>0.35</v>
      </c>
      <c r="P118" s="73" t="n">
        <v>1</v>
      </c>
      <c r="Q118" t="inlineStr">
        <is>
          <t>ascending</t>
        </is>
      </c>
      <c r="R118" s="71" t="n">
        <v>128</v>
      </c>
      <c r="S118" s="71" t="n">
        <v>1</v>
      </c>
      <c r="U118" t="inlineStr">
        <is>
          <t>/composition/layers/106/clips/1/video/opacity</t>
        </is>
      </c>
    </row>
    <row r="119">
      <c r="A119" s="71" t="n">
        <v>115</v>
      </c>
      <c r="B119" s="72" t="inlineStr">
        <is>
          <t>1784313902106</t>
        </is>
      </c>
      <c r="C119" t="inlineStr">
        <is>
          <t>motion_rotation</t>
        </is>
      </c>
      <c r="D119" s="71" t="n">
        <v>106</v>
      </c>
      <c r="E119" t="inlineStr">
        <is>
          <t>TRACK5</t>
        </is>
      </c>
      <c r="F119" t="inlineStr">
        <is>
          <t>Track Knob 5</t>
        </is>
      </c>
      <c r="G119" t="inlineStr">
        <is>
          <t>cc</t>
        </is>
      </c>
      <c r="H119" s="72" t="n">
        <v>52</v>
      </c>
      <c r="I119" s="72" t="n">
        <v>1</v>
      </c>
      <c r="J119" s="72" t="inlineStr">
        <is>
          <t>144115188075869360</t>
        </is>
      </c>
      <c r="K119" t="inlineStr">
        <is>
          <t>CC52/C1</t>
        </is>
      </c>
      <c r="L119" t="inlineStr">
        <is>
          <t>/composition/layers/106/clips/1/video/effects/transform/rotationz</t>
        </is>
      </c>
      <c r="M119" s="71" t="n">
        <v>8</v>
      </c>
      <c r="N119" t="inlineStr">
        <is>
          <t>Absolute</t>
        </is>
      </c>
      <c r="O119" s="73" t="n">
        <v>0.125</v>
      </c>
      <c r="P119" s="73" t="n">
        <v>0.875</v>
      </c>
      <c r="Q119" t="inlineStr">
        <is>
          <t>ascending</t>
        </is>
      </c>
      <c r="R119" s="71" t="n">
        <v>128</v>
      </c>
      <c r="S119" s="71" t="n">
        <v>1</v>
      </c>
      <c r="U119" t="inlineStr">
        <is>
          <t>/composition/layers/106/clips/1/video/effects/transform/rotationz</t>
        </is>
      </c>
    </row>
    <row r="120">
      <c r="A120" s="71" t="n">
        <v>116</v>
      </c>
      <c r="B120" s="72" t="inlineStr">
        <is>
          <t>1784313900066</t>
        </is>
      </c>
      <c r="C120" t="inlineStr">
        <is>
          <t>button_connect</t>
        </is>
      </c>
      <c r="D120" s="71" t="n">
        <v>66</v>
      </c>
      <c r="E120" t="inlineStr">
        <is>
          <t>●</t>
        </is>
      </c>
      <c r="F120" t="inlineStr">
        <is>
          <t>Record Arm 5</t>
        </is>
      </c>
      <c r="G120" t="inlineStr">
        <is>
          <t>note</t>
        </is>
      </c>
      <c r="H120" s="72" t="n">
        <v>48</v>
      </c>
      <c r="I120" s="72" t="n">
        <v>5</v>
      </c>
      <c r="J120" s="72" t="inlineStr">
        <is>
          <t>72057594037940372</t>
        </is>
      </c>
      <c r="K120" t="inlineStr">
        <is>
          <t>N48/C5</t>
        </is>
      </c>
      <c r="L120" t="inlineStr">
        <is>
          <t>/composition/layers/66/clips/1/connect</t>
        </is>
      </c>
      <c r="M120" s="71" t="n">
        <v>1028</v>
      </c>
      <c r="N120" t="inlineStr">
        <is>
          <t>Button / value</t>
        </is>
      </c>
      <c r="O120" s="73" t="n"/>
      <c r="P120" s="73" t="n"/>
      <c r="R120" s="71" t="n">
        <v>128</v>
      </c>
      <c r="S120" s="71" t="n">
        <v>0</v>
      </c>
      <c r="T120" t="inlineStr">
        <is>
          <t>APC40 mkII</t>
        </is>
      </c>
      <c r="U120" t="inlineStr">
        <is>
          <t>/composition/layers/66/clips/1/connect</t>
        </is>
      </c>
      <c r="V120" t="inlineStr">
        <is>
          <t>/composition/layers/66/clips/1/connected</t>
        </is>
      </c>
      <c r="W120" t="inlineStr">
        <is>
          <t>/composition/layers/66/clips/1/connected</t>
        </is>
      </c>
      <c r="X120" t="inlineStr">
        <is>
          <t>Connected=0.039370078740157479769; Connected &amp; previewing=0.039370078740157479769; Disconnected=0; Empty=0; Off=0; Previewing=0</t>
        </is>
      </c>
    </row>
    <row r="121">
      <c r="A121" s="71" t="n">
        <v>117</v>
      </c>
      <c r="B121" s="72" t="inlineStr">
        <is>
          <t>1784313900083</t>
        </is>
      </c>
      <c r="C121" t="inlineStr">
        <is>
          <t>button_connect</t>
        </is>
      </c>
      <c r="D121" s="71" t="n">
        <v>83</v>
      </c>
      <c r="E121" t="inlineStr">
        <is>
          <t>6</t>
        </is>
      </c>
      <c r="F121" t="inlineStr">
        <is>
          <t>Activator 6</t>
        </is>
      </c>
      <c r="G121" t="inlineStr">
        <is>
          <t>note</t>
        </is>
      </c>
      <c r="H121" s="72" t="n">
        <v>50</v>
      </c>
      <c r="I121" s="72" t="n">
        <v>6</v>
      </c>
      <c r="J121" s="72" t="inlineStr">
        <is>
          <t>72057594037940885</t>
        </is>
      </c>
      <c r="K121" t="inlineStr">
        <is>
          <t>N50/C6</t>
        </is>
      </c>
      <c r="L121" t="inlineStr">
        <is>
          <t>/composition/layers/83/clips/1/connect</t>
        </is>
      </c>
      <c r="M121" s="71" t="n">
        <v>1028</v>
      </c>
      <c r="N121" t="inlineStr">
        <is>
          <t>Button / value</t>
        </is>
      </c>
      <c r="O121" s="73" t="n"/>
      <c r="P121" s="73" t="n"/>
      <c r="R121" s="71" t="n">
        <v>128</v>
      </c>
      <c r="S121" s="71" t="n">
        <v>0</v>
      </c>
      <c r="T121" t="inlineStr">
        <is>
          <t>APC40 mkII</t>
        </is>
      </c>
      <c r="U121" t="inlineStr">
        <is>
          <t>/composition/layers/83/clips/1/connect</t>
        </is>
      </c>
      <c r="V121" t="inlineStr">
        <is>
          <t>/composition/layers/83/clips/1/connected</t>
        </is>
      </c>
      <c r="W121" t="inlineStr">
        <is>
          <t>/composition/layers/83/clips/1/connected</t>
        </is>
      </c>
      <c r="X121" t="inlineStr">
        <is>
          <t>Connected=0.16535433070866142891; Connected &amp; previewing=0.16535433070866142891; Disconnected=0; Empty=0; Off=0; Previewing=0</t>
        </is>
      </c>
    </row>
    <row r="122">
      <c r="A122" s="71" t="n">
        <v>118</v>
      </c>
      <c r="B122" s="72" t="inlineStr">
        <is>
          <t>1784313901114</t>
        </is>
      </c>
      <c r="C122" t="inlineStr">
        <is>
          <t>wake</t>
        </is>
      </c>
      <c r="D122" s="71" t="n">
        <v>114</v>
      </c>
      <c r="E122" t="inlineStr">
        <is>
          <t>DEV5</t>
        </is>
      </c>
      <c r="F122" t="inlineStr">
        <is>
          <t>Device Knob 5</t>
        </is>
      </c>
      <c r="G122" t="inlineStr">
        <is>
          <t>cc</t>
        </is>
      </c>
      <c r="H122" s="72" t="n">
        <v>20</v>
      </c>
      <c r="I122" s="72" t="n">
        <v>1</v>
      </c>
      <c r="J122" s="72" t="inlineStr">
        <is>
          <t>144115188075861168</t>
        </is>
      </c>
      <c r="K122" t="inlineStr">
        <is>
          <t>CC20/C1</t>
        </is>
      </c>
      <c r="L122" t="inlineStr">
        <is>
          <t>/composition/layers/114/clips/1/connect</t>
        </is>
      </c>
      <c r="M122" s="71" t="n">
        <v>1028</v>
      </c>
      <c r="N122" t="inlineStr">
        <is>
          <t>CC wake</t>
        </is>
      </c>
      <c r="O122" s="73" t="n"/>
      <c r="P122" s="73" t="n"/>
      <c r="R122" s="71" t="n">
        <v>128</v>
      </c>
      <c r="S122" s="71" t="n">
        <v>1</v>
      </c>
      <c r="U122" t="inlineStr">
        <is>
          <t>/composition/layers/114/clips/1/connect</t>
        </is>
      </c>
      <c r="X122" t="inlineStr">
        <is>
          <t>Disconnected=1</t>
        </is>
      </c>
    </row>
    <row r="123">
      <c r="A123" s="71" t="n">
        <v>119</v>
      </c>
      <c r="B123" s="72" t="inlineStr">
        <is>
          <t>1784313900114</t>
        </is>
      </c>
      <c r="C123" t="inlineStr">
        <is>
          <t>opacity</t>
        </is>
      </c>
      <c r="D123" s="71" t="n">
        <v>114</v>
      </c>
      <c r="E123" t="inlineStr">
        <is>
          <t>DEV5</t>
        </is>
      </c>
      <c r="F123" t="inlineStr">
        <is>
          <t>Device Knob 5</t>
        </is>
      </c>
      <c r="G123" t="inlineStr">
        <is>
          <t>cc</t>
        </is>
      </c>
      <c r="H123" s="72" t="n">
        <v>20</v>
      </c>
      <c r="I123" s="72" t="n">
        <v>1</v>
      </c>
      <c r="J123" s="72" t="inlineStr">
        <is>
          <t>144115188075861168</t>
        </is>
      </c>
      <c r="K123" t="inlineStr">
        <is>
          <t>CC20/C1</t>
        </is>
      </c>
      <c r="L123" t="inlineStr">
        <is>
          <t>/composition/layers/114/clips/1/video/opacity</t>
        </is>
      </c>
      <c r="M123" s="71" t="n">
        <v>8</v>
      </c>
      <c r="N123" t="inlineStr">
        <is>
          <t>Absolute</t>
        </is>
      </c>
      <c r="O123" s="73" t="n">
        <v>0.35</v>
      </c>
      <c r="P123" s="73" t="n">
        <v>1</v>
      </c>
      <c r="Q123" t="inlineStr">
        <is>
          <t>ascending</t>
        </is>
      </c>
      <c r="R123" s="71" t="n">
        <v>128</v>
      </c>
      <c r="S123" s="71" t="n">
        <v>1</v>
      </c>
      <c r="U123" t="inlineStr">
        <is>
          <t>/composition/layers/114/clips/1/video/opacity</t>
        </is>
      </c>
    </row>
    <row r="124">
      <c r="A124" s="71" t="n">
        <v>120</v>
      </c>
      <c r="B124" s="72" t="inlineStr">
        <is>
          <t>1784313902114</t>
        </is>
      </c>
      <c r="C124" t="inlineStr">
        <is>
          <t>motion_rotation</t>
        </is>
      </c>
      <c r="D124" s="71" t="n">
        <v>114</v>
      </c>
      <c r="E124" t="inlineStr">
        <is>
          <t>DEV5</t>
        </is>
      </c>
      <c r="F124" t="inlineStr">
        <is>
          <t>Device Knob 5</t>
        </is>
      </c>
      <c r="G124" t="inlineStr">
        <is>
          <t>cc</t>
        </is>
      </c>
      <c r="H124" s="72" t="n">
        <v>20</v>
      </c>
      <c r="I124" s="72" t="n">
        <v>1</v>
      </c>
      <c r="J124" s="72" t="inlineStr">
        <is>
          <t>144115188075861168</t>
        </is>
      </c>
      <c r="K124" t="inlineStr">
        <is>
          <t>CC20/C1</t>
        </is>
      </c>
      <c r="L124" t="inlineStr">
        <is>
          <t>/composition/layers/114/clips/1/video/effects/transform/rotationz</t>
        </is>
      </c>
      <c r="M124" s="71" t="n">
        <v>8</v>
      </c>
      <c r="N124" t="inlineStr">
        <is>
          <t>Absolute</t>
        </is>
      </c>
      <c r="O124" s="73" t="n">
        <v>0.125</v>
      </c>
      <c r="P124" s="73" t="n">
        <v>0.875</v>
      </c>
      <c r="Q124" t="inlineStr">
        <is>
          <t>ascending</t>
        </is>
      </c>
      <c r="R124" s="71" t="n">
        <v>128</v>
      </c>
      <c r="S124" s="71" t="n">
        <v>1</v>
      </c>
      <c r="U124" t="inlineStr">
        <is>
          <t>/composition/layers/114/clips/1/video/effects/transform/rotationz</t>
        </is>
      </c>
    </row>
    <row r="125">
      <c r="A125" s="71" t="n">
        <v>121</v>
      </c>
      <c r="B125" s="72" t="inlineStr">
        <is>
          <t>1784313900122</t>
        </is>
      </c>
      <c r="C125" t="inlineStr">
        <is>
          <t>button_connect</t>
        </is>
      </c>
      <c r="D125" s="71" t="n">
        <v>122</v>
      </c>
      <c r="E125" t="inlineStr">
        <is>
          <t>NUDGE-</t>
        </is>
      </c>
      <c r="F125" t="inlineStr">
        <is>
          <t>Nudge Minus</t>
        </is>
      </c>
      <c r="G125" t="inlineStr">
        <is>
          <t>note</t>
        </is>
      </c>
      <c r="H125" s="72" t="n">
        <v>100</v>
      </c>
      <c r="I125" s="72" t="n">
        <v>1</v>
      </c>
      <c r="J125" s="72" t="inlineStr">
        <is>
          <t>72057594037953680</t>
        </is>
      </c>
      <c r="K125" t="inlineStr">
        <is>
          <t>N100/C1</t>
        </is>
      </c>
      <c r="L125" t="inlineStr">
        <is>
          <t>/composition/layers/122/clips/1/connect</t>
        </is>
      </c>
      <c r="M125" s="71" t="n">
        <v>1028</v>
      </c>
      <c r="N125" t="inlineStr">
        <is>
          <t>Button / value</t>
        </is>
      </c>
      <c r="O125" s="73" t="n"/>
      <c r="P125" s="73" t="n"/>
      <c r="R125" s="71" t="n">
        <v>128</v>
      </c>
      <c r="S125" s="71" t="n">
        <v>0</v>
      </c>
      <c r="T125" t="inlineStr">
        <is>
          <t>APC40 mkII</t>
        </is>
      </c>
      <c r="U125" t="inlineStr">
        <is>
          <t>/composition/layers/122/clips/1/connect</t>
        </is>
      </c>
      <c r="V125" t="inlineStr">
        <is>
          <t>/composition/layers/122/clips/1/connected</t>
        </is>
      </c>
      <c r="W125" t="inlineStr">
        <is>
          <t>/composition/layers/122/clips/1/connected</t>
        </is>
      </c>
      <c r="X125" t="inlineStr">
        <is>
          <t>Connected=0.1023622047244094474; Connected &amp; previewing=0.1023622047244094474; Disconnected=0; Empty=0; Off=0; Previewing=0</t>
        </is>
      </c>
    </row>
    <row r="126">
      <c r="A126" s="71" t="n">
        <v>122</v>
      </c>
      <c r="B126" s="72" t="inlineStr">
        <is>
          <t>1784313900086</t>
        </is>
      </c>
      <c r="C126" t="inlineStr">
        <is>
          <t>button_connect</t>
        </is>
      </c>
      <c r="D126" s="71" t="n">
        <v>86</v>
      </c>
      <c r="E126" t="inlineStr">
        <is>
          <t>A/B</t>
        </is>
      </c>
      <c r="F126" t="inlineStr">
        <is>
          <t>Crossfade A B 1</t>
        </is>
      </c>
      <c r="G126" t="inlineStr">
        <is>
          <t>note</t>
        </is>
      </c>
      <c r="H126" s="72" t="n">
        <v>66</v>
      </c>
      <c r="I126" s="72" t="n">
        <v>1</v>
      </c>
      <c r="J126" s="72" t="inlineStr">
        <is>
          <t>72057594037944976</t>
        </is>
      </c>
      <c r="K126" t="inlineStr">
        <is>
          <t>N66/C1</t>
        </is>
      </c>
      <c r="L126" t="inlineStr">
        <is>
          <t>/composition/layers/86/clips/1/connect</t>
        </is>
      </c>
      <c r="M126" s="71" t="n">
        <v>1028</v>
      </c>
      <c r="N126" t="inlineStr">
        <is>
          <t>Button / value</t>
        </is>
      </c>
      <c r="O126" s="73" t="n"/>
      <c r="P126" s="73" t="n"/>
      <c r="R126" s="71" t="n">
        <v>128</v>
      </c>
      <c r="S126" s="71" t="n">
        <v>0</v>
      </c>
      <c r="T126" t="inlineStr">
        <is>
          <t>APC40 mkII</t>
        </is>
      </c>
      <c r="U126" t="inlineStr">
        <is>
          <t>/composition/layers/86/clips/1/connect</t>
        </is>
      </c>
      <c r="V126" t="inlineStr">
        <is>
          <t>/composition/layers/86/clips/1/connected</t>
        </is>
      </c>
      <c r="W126" t="inlineStr">
        <is>
          <t>/composition/layers/86/clips/1/connected</t>
        </is>
      </c>
      <c r="X126" t="inlineStr">
        <is>
          <t>Connected=0.070866141732283463583; Connected &amp; previewing=0.070866141732283463583; Disconnected=0; Empty=0; Off=0; Previewing=0</t>
        </is>
      </c>
    </row>
    <row r="127">
      <c r="A127" s="71" t="n">
        <v>123</v>
      </c>
      <c r="B127" s="72" t="inlineStr">
        <is>
          <t>1784313901113</t>
        </is>
      </c>
      <c r="C127" t="inlineStr">
        <is>
          <t>wake</t>
        </is>
      </c>
      <c r="D127" s="71" t="n">
        <v>113</v>
      </c>
      <c r="E127" t="inlineStr">
        <is>
          <t>DEV4</t>
        </is>
      </c>
      <c r="F127" t="inlineStr">
        <is>
          <t>Device Knob 4</t>
        </is>
      </c>
      <c r="G127" t="inlineStr">
        <is>
          <t>cc</t>
        </is>
      </c>
      <c r="H127" s="72" t="n">
        <v>19</v>
      </c>
      <c r="I127" s="72" t="n">
        <v>1</v>
      </c>
      <c r="J127" s="72" t="inlineStr">
        <is>
          <t>144115188075860912</t>
        </is>
      </c>
      <c r="K127" t="inlineStr">
        <is>
          <t>CC19/C1</t>
        </is>
      </c>
      <c r="L127" t="inlineStr">
        <is>
          <t>/composition/layers/113/clips/1/connect</t>
        </is>
      </c>
      <c r="M127" s="71" t="n">
        <v>1028</v>
      </c>
      <c r="N127" t="inlineStr">
        <is>
          <t>CC wake</t>
        </is>
      </c>
      <c r="O127" s="73" t="n"/>
      <c r="P127" s="73" t="n"/>
      <c r="R127" s="71" t="n">
        <v>128</v>
      </c>
      <c r="S127" s="71" t="n">
        <v>1</v>
      </c>
      <c r="U127" t="inlineStr">
        <is>
          <t>/composition/layers/113/clips/1/connect</t>
        </is>
      </c>
      <c r="X127" t="inlineStr">
        <is>
          <t>Disconnected=1</t>
        </is>
      </c>
    </row>
    <row r="128">
      <c r="A128" s="71" t="n">
        <v>124</v>
      </c>
      <c r="B128" s="72" t="inlineStr">
        <is>
          <t>1784313900113</t>
        </is>
      </c>
      <c r="C128" t="inlineStr">
        <is>
          <t>opacity</t>
        </is>
      </c>
      <c r="D128" s="71" t="n">
        <v>113</v>
      </c>
      <c r="E128" t="inlineStr">
        <is>
          <t>DEV4</t>
        </is>
      </c>
      <c r="F128" t="inlineStr">
        <is>
          <t>Device Knob 4</t>
        </is>
      </c>
      <c r="G128" t="inlineStr">
        <is>
          <t>cc</t>
        </is>
      </c>
      <c r="H128" s="72" t="n">
        <v>19</v>
      </c>
      <c r="I128" s="72" t="n">
        <v>1</v>
      </c>
      <c r="J128" s="72" t="inlineStr">
        <is>
          <t>144115188075860912</t>
        </is>
      </c>
      <c r="K128" t="inlineStr">
        <is>
          <t>CC19/C1</t>
        </is>
      </c>
      <c r="L128" t="inlineStr">
        <is>
          <t>/composition/layers/113/clips/1/video/opacity</t>
        </is>
      </c>
      <c r="M128" s="71" t="n">
        <v>8</v>
      </c>
      <c r="N128" t="inlineStr">
        <is>
          <t>Absolute</t>
        </is>
      </c>
      <c r="O128" s="73" t="n">
        <v>0.35</v>
      </c>
      <c r="P128" s="73" t="n">
        <v>1</v>
      </c>
      <c r="Q128" t="inlineStr">
        <is>
          <t>ascending</t>
        </is>
      </c>
      <c r="R128" s="71" t="n">
        <v>128</v>
      </c>
      <c r="S128" s="71" t="n">
        <v>1</v>
      </c>
      <c r="U128" t="inlineStr">
        <is>
          <t>/composition/layers/113/clips/1/video/opacity</t>
        </is>
      </c>
    </row>
    <row r="129">
      <c r="A129" s="71" t="n">
        <v>125</v>
      </c>
      <c r="B129" s="72" t="inlineStr">
        <is>
          <t>1784313902113</t>
        </is>
      </c>
      <c r="C129" t="inlineStr">
        <is>
          <t>motion_rotation</t>
        </is>
      </c>
      <c r="D129" s="71" t="n">
        <v>113</v>
      </c>
      <c r="E129" t="inlineStr">
        <is>
          <t>DEV4</t>
        </is>
      </c>
      <c r="F129" t="inlineStr">
        <is>
          <t>Device Knob 4</t>
        </is>
      </c>
      <c r="G129" t="inlineStr">
        <is>
          <t>cc</t>
        </is>
      </c>
      <c r="H129" s="72" t="n">
        <v>19</v>
      </c>
      <c r="I129" s="72" t="n">
        <v>1</v>
      </c>
      <c r="J129" s="72" t="inlineStr">
        <is>
          <t>144115188075860912</t>
        </is>
      </c>
      <c r="K129" t="inlineStr">
        <is>
          <t>CC19/C1</t>
        </is>
      </c>
      <c r="L129" t="inlineStr">
        <is>
          <t>/composition/layers/113/clips/1/video/effects/transform/rotationz</t>
        </is>
      </c>
      <c r="M129" s="71" t="n">
        <v>8</v>
      </c>
      <c r="N129" t="inlineStr">
        <is>
          <t>Absolute</t>
        </is>
      </c>
      <c r="O129" s="73" t="n">
        <v>0.125</v>
      </c>
      <c r="P129" s="73" t="n">
        <v>0.875</v>
      </c>
      <c r="Q129" t="inlineStr">
        <is>
          <t>ascending</t>
        </is>
      </c>
      <c r="R129" s="71" t="n">
        <v>128</v>
      </c>
      <c r="S129" s="71" t="n">
        <v>1</v>
      </c>
      <c r="U129" t="inlineStr">
        <is>
          <t>/composition/layers/113/clips/1/video/effects/transform/rotationz</t>
        </is>
      </c>
    </row>
    <row r="130">
      <c r="A130" s="71" t="n">
        <v>126</v>
      </c>
      <c r="B130" s="72" t="inlineStr">
        <is>
          <t>1784313901104</t>
        </is>
      </c>
      <c r="C130" t="inlineStr">
        <is>
          <t>wake</t>
        </is>
      </c>
      <c r="D130" s="71" t="n">
        <v>104</v>
      </c>
      <c r="E130" t="inlineStr">
        <is>
          <t>TRACK3</t>
        </is>
      </c>
      <c r="F130" t="inlineStr">
        <is>
          <t>Track Knob 3</t>
        </is>
      </c>
      <c r="G130" t="inlineStr">
        <is>
          <t>cc</t>
        </is>
      </c>
      <c r="H130" s="72" t="n">
        <v>50</v>
      </c>
      <c r="I130" s="72" t="n">
        <v>1</v>
      </c>
      <c r="J130" s="72" t="inlineStr">
        <is>
          <t>144115188075868848</t>
        </is>
      </c>
      <c r="K130" t="inlineStr">
        <is>
          <t>CC50/C1</t>
        </is>
      </c>
      <c r="L130" t="inlineStr">
        <is>
          <t>/composition/layers/104/clips/1/connect</t>
        </is>
      </c>
      <c r="M130" s="71" t="n">
        <v>1028</v>
      </c>
      <c r="N130" t="inlineStr">
        <is>
          <t>CC wake</t>
        </is>
      </c>
      <c r="O130" s="73" t="n"/>
      <c r="P130" s="73" t="n"/>
      <c r="R130" s="71" t="n">
        <v>128</v>
      </c>
      <c r="S130" s="71" t="n">
        <v>1</v>
      </c>
      <c r="U130" t="inlineStr">
        <is>
          <t>/composition/layers/104/clips/1/connect</t>
        </is>
      </c>
      <c r="X130" t="inlineStr">
        <is>
          <t>Disconnected=1</t>
        </is>
      </c>
    </row>
    <row r="131">
      <c r="A131" s="71" t="n">
        <v>127</v>
      </c>
      <c r="B131" s="72" t="inlineStr">
        <is>
          <t>1784313900104</t>
        </is>
      </c>
      <c r="C131" t="inlineStr">
        <is>
          <t>opacity</t>
        </is>
      </c>
      <c r="D131" s="71" t="n">
        <v>104</v>
      </c>
      <c r="E131" t="inlineStr">
        <is>
          <t>TRACK3</t>
        </is>
      </c>
      <c r="F131" t="inlineStr">
        <is>
          <t>Track Knob 3</t>
        </is>
      </c>
      <c r="G131" t="inlineStr">
        <is>
          <t>cc</t>
        </is>
      </c>
      <c r="H131" s="72" t="n">
        <v>50</v>
      </c>
      <c r="I131" s="72" t="n">
        <v>1</v>
      </c>
      <c r="J131" s="72" t="inlineStr">
        <is>
          <t>144115188075868848</t>
        </is>
      </c>
      <c r="K131" t="inlineStr">
        <is>
          <t>CC50/C1</t>
        </is>
      </c>
      <c r="L131" t="inlineStr">
        <is>
          <t>/composition/layers/104/clips/1/video/opacity</t>
        </is>
      </c>
      <c r="M131" s="71" t="n">
        <v>8</v>
      </c>
      <c r="N131" t="inlineStr">
        <is>
          <t>Absolute</t>
        </is>
      </c>
      <c r="O131" s="73" t="n">
        <v>0.35</v>
      </c>
      <c r="P131" s="73" t="n">
        <v>1</v>
      </c>
      <c r="Q131" t="inlineStr">
        <is>
          <t>ascending</t>
        </is>
      </c>
      <c r="R131" s="71" t="n">
        <v>128</v>
      </c>
      <c r="S131" s="71" t="n">
        <v>1</v>
      </c>
      <c r="U131" t="inlineStr">
        <is>
          <t>/composition/layers/104/clips/1/video/opacity</t>
        </is>
      </c>
    </row>
    <row r="132">
      <c r="A132" s="71" t="n">
        <v>128</v>
      </c>
      <c r="B132" s="72" t="inlineStr">
        <is>
          <t>1784313902104</t>
        </is>
      </c>
      <c r="C132" t="inlineStr">
        <is>
          <t>motion_rotation</t>
        </is>
      </c>
      <c r="D132" s="71" t="n">
        <v>104</v>
      </c>
      <c r="E132" t="inlineStr">
        <is>
          <t>TRACK3</t>
        </is>
      </c>
      <c r="F132" t="inlineStr">
        <is>
          <t>Track Knob 3</t>
        </is>
      </c>
      <c r="G132" t="inlineStr">
        <is>
          <t>cc</t>
        </is>
      </c>
      <c r="H132" s="72" t="n">
        <v>50</v>
      </c>
      <c r="I132" s="72" t="n">
        <v>1</v>
      </c>
      <c r="J132" s="72" t="inlineStr">
        <is>
          <t>144115188075868848</t>
        </is>
      </c>
      <c r="K132" t="inlineStr">
        <is>
          <t>CC50/C1</t>
        </is>
      </c>
      <c r="L132" t="inlineStr">
        <is>
          <t>/composition/layers/104/clips/1/video/effects/transform/rotationz</t>
        </is>
      </c>
      <c r="M132" s="71" t="n">
        <v>8</v>
      </c>
      <c r="N132" t="inlineStr">
        <is>
          <t>Absolute</t>
        </is>
      </c>
      <c r="O132" s="73" t="n">
        <v>0.125</v>
      </c>
      <c r="P132" s="73" t="n">
        <v>0.875</v>
      </c>
      <c r="Q132" t="inlineStr">
        <is>
          <t>ascending</t>
        </is>
      </c>
      <c r="R132" s="71" t="n">
        <v>128</v>
      </c>
      <c r="S132" s="71" t="n">
        <v>1</v>
      </c>
      <c r="U132" t="inlineStr">
        <is>
          <t>/composition/layers/104/clips/1/video/effects/transform/rotationz</t>
        </is>
      </c>
    </row>
    <row r="133">
      <c r="A133" s="71" t="n">
        <v>129</v>
      </c>
      <c r="B133" s="72" t="inlineStr">
        <is>
          <t>1784313900065</t>
        </is>
      </c>
      <c r="C133" t="inlineStr">
        <is>
          <t>button_connect</t>
        </is>
      </c>
      <c r="D133" s="71" t="n">
        <v>65</v>
      </c>
      <c r="E133" t="inlineStr">
        <is>
          <t>●</t>
        </is>
      </c>
      <c r="F133" t="inlineStr">
        <is>
          <t>Record Arm 4</t>
        </is>
      </c>
      <c r="G133" t="inlineStr">
        <is>
          <t>note</t>
        </is>
      </c>
      <c r="H133" s="72" t="n">
        <v>48</v>
      </c>
      <c r="I133" s="72" t="n">
        <v>4</v>
      </c>
      <c r="J133" s="72" t="inlineStr">
        <is>
          <t>72057594037940371</t>
        </is>
      </c>
      <c r="K133" t="inlineStr">
        <is>
          <t>N48/C4</t>
        </is>
      </c>
      <c r="L133" t="inlineStr">
        <is>
          <t>/composition/layers/65/clips/1/connect</t>
        </is>
      </c>
      <c r="M133" s="71" t="n">
        <v>1028</v>
      </c>
      <c r="N133" t="inlineStr">
        <is>
          <t>Button / value</t>
        </is>
      </c>
      <c r="O133" s="73" t="n"/>
      <c r="P133" s="73" t="n"/>
      <c r="R133" s="71" t="n">
        <v>128</v>
      </c>
      <c r="S133" s="71" t="n">
        <v>0</v>
      </c>
      <c r="T133" t="inlineStr">
        <is>
          <t>APC40 mkII</t>
        </is>
      </c>
      <c r="U133" t="inlineStr">
        <is>
          <t>/composition/layers/65/clips/1/connect</t>
        </is>
      </c>
      <c r="V133" t="inlineStr">
        <is>
          <t>/composition/layers/65/clips/1/connected</t>
        </is>
      </c>
      <c r="W133" t="inlineStr">
        <is>
          <t>/composition/layers/65/clips/1/connected</t>
        </is>
      </c>
      <c r="X133" t="inlineStr">
        <is>
          <t>Connected=0.039370078740157479769; Connected &amp; previewing=0.039370078740157479769; Disconnected=0; Empty=0; Off=0; Previewing=0</t>
        </is>
      </c>
    </row>
    <row r="134">
      <c r="A134" s="71" t="n">
        <v>130</v>
      </c>
      <c r="B134" s="72" t="inlineStr">
        <is>
          <t>1784313900119</t>
        </is>
      </c>
      <c r="C134" t="inlineStr">
        <is>
          <t>button_connect</t>
        </is>
      </c>
      <c r="D134" s="71" t="n">
        <v>119</v>
      </c>
      <c r="E134" t="inlineStr">
        <is>
          <t>STOP</t>
        </is>
      </c>
      <c r="F134" t="inlineStr">
        <is>
          <t>Stop</t>
        </is>
      </c>
      <c r="G134" t="inlineStr">
        <is>
          <t>note</t>
        </is>
      </c>
      <c r="H134" s="72" t="n">
        <v>92</v>
      </c>
      <c r="I134" s="72" t="n">
        <v>1</v>
      </c>
      <c r="J134" s="72" t="inlineStr">
        <is>
          <t>72057594037951632</t>
        </is>
      </c>
      <c r="K134" t="inlineStr">
        <is>
          <t>N92/C1</t>
        </is>
      </c>
      <c r="L134" t="inlineStr">
        <is>
          <t>/composition/layers/119/clips/1/connect</t>
        </is>
      </c>
      <c r="M134" s="71" t="n">
        <v>1028</v>
      </c>
      <c r="N134" t="inlineStr">
        <is>
          <t>Button / value</t>
        </is>
      </c>
      <c r="O134" s="73" t="n"/>
      <c r="P134" s="73" t="n"/>
      <c r="R134" s="71" t="n">
        <v>128</v>
      </c>
      <c r="S134" s="71" t="n">
        <v>0</v>
      </c>
      <c r="T134" t="inlineStr">
        <is>
          <t>APC40 mkII</t>
        </is>
      </c>
      <c r="U134" t="inlineStr">
        <is>
          <t>/composition/layers/119/clips/1/connect</t>
        </is>
      </c>
      <c r="V134" t="inlineStr">
        <is>
          <t>/composition/layers/119/clips/1/connected</t>
        </is>
      </c>
      <c r="W134" t="inlineStr">
        <is>
          <t>/composition/layers/119/clips/1/connected</t>
        </is>
      </c>
      <c r="X134" t="inlineStr">
        <is>
          <t>Connected=0.023622047244094487861; Connected &amp; previewing=0.023622047244094487861; Disconnected=0; Empty=0; Off=0; Previewing=0</t>
        </is>
      </c>
    </row>
    <row r="135">
      <c r="A135" s="71" t="n">
        <v>131</v>
      </c>
      <c r="B135" s="72" t="inlineStr">
        <is>
          <t>1784313901096</t>
        </is>
      </c>
      <c r="C135" t="inlineStr">
        <is>
          <t>wake</t>
        </is>
      </c>
      <c r="D135" s="71" t="n">
        <v>96</v>
      </c>
      <c r="E135" t="inlineStr">
        <is>
          <t>FADER3</t>
        </is>
      </c>
      <c r="F135" t="inlineStr">
        <is>
          <t>Track Fader 3</t>
        </is>
      </c>
      <c r="G135" t="inlineStr">
        <is>
          <t>cc</t>
        </is>
      </c>
      <c r="H135" s="72" t="n">
        <v>7</v>
      </c>
      <c r="I135" s="72" t="n">
        <v>3</v>
      </c>
      <c r="J135" s="72" t="inlineStr">
        <is>
          <t>144115188075857842</t>
        </is>
      </c>
      <c r="K135" t="inlineStr">
        <is>
          <t>CC7/C3</t>
        </is>
      </c>
      <c r="L135" t="inlineStr">
        <is>
          <t>/composition/layers/96/clips/1/connect</t>
        </is>
      </c>
      <c r="M135" s="71" t="n">
        <v>1028</v>
      </c>
      <c r="N135" t="inlineStr">
        <is>
          <t>CC wake</t>
        </is>
      </c>
      <c r="O135" s="73" t="n"/>
      <c r="P135" s="73" t="n"/>
      <c r="R135" s="71" t="n">
        <v>128</v>
      </c>
      <c r="S135" s="71" t="n">
        <v>1</v>
      </c>
      <c r="U135" t="inlineStr">
        <is>
          <t>/composition/layers/96/clips/1/connect</t>
        </is>
      </c>
      <c r="X135" t="inlineStr">
        <is>
          <t>Disconnected=1</t>
        </is>
      </c>
    </row>
    <row r="136">
      <c r="A136" s="71" t="n">
        <v>132</v>
      </c>
      <c r="B136" s="72" t="inlineStr">
        <is>
          <t>1784313900096</t>
        </is>
      </c>
      <c r="C136" t="inlineStr">
        <is>
          <t>opacity</t>
        </is>
      </c>
      <c r="D136" s="71" t="n">
        <v>96</v>
      </c>
      <c r="E136" t="inlineStr">
        <is>
          <t>FADER3</t>
        </is>
      </c>
      <c r="F136" t="inlineStr">
        <is>
          <t>Track Fader 3</t>
        </is>
      </c>
      <c r="G136" t="inlineStr">
        <is>
          <t>cc</t>
        </is>
      </c>
      <c r="H136" s="72" t="n">
        <v>7</v>
      </c>
      <c r="I136" s="72" t="n">
        <v>3</v>
      </c>
      <c r="J136" s="72" t="inlineStr">
        <is>
          <t>144115188075857842</t>
        </is>
      </c>
      <c r="K136" t="inlineStr">
        <is>
          <t>CC7/C3</t>
        </is>
      </c>
      <c r="L136" t="inlineStr">
        <is>
          <t>/composition/layers/96/clips/1/video/opacity</t>
        </is>
      </c>
      <c r="M136" s="71" t="n">
        <v>8</v>
      </c>
      <c r="N136" t="inlineStr">
        <is>
          <t>Absolute</t>
        </is>
      </c>
      <c r="O136" s="73" t="n">
        <v>0.65</v>
      </c>
      <c r="P136" s="73" t="n">
        <v>1</v>
      </c>
      <c r="Q136" t="inlineStr">
        <is>
          <t>ascending</t>
        </is>
      </c>
      <c r="R136" s="71" t="n">
        <v>128</v>
      </c>
      <c r="S136" s="71" t="n">
        <v>1</v>
      </c>
      <c r="U136" t="inlineStr">
        <is>
          <t>/composition/layers/96/clips/1/video/opacity</t>
        </is>
      </c>
    </row>
    <row r="137">
      <c r="A137" s="71" t="n">
        <v>133</v>
      </c>
      <c r="B137" s="72" t="inlineStr">
        <is>
          <t>1784313902096</t>
        </is>
      </c>
      <c r="C137" t="inlineStr">
        <is>
          <t>motion_y</t>
        </is>
      </c>
      <c r="D137" s="71" t="n">
        <v>96</v>
      </c>
      <c r="E137" t="inlineStr">
        <is>
          <t>FADER3</t>
        </is>
      </c>
      <c r="F137" t="inlineStr">
        <is>
          <t>Track Fader 3</t>
        </is>
      </c>
      <c r="G137" t="inlineStr">
        <is>
          <t>cc</t>
        </is>
      </c>
      <c r="H137" s="72" t="n">
        <v>7</v>
      </c>
      <c r="I137" s="72" t="n">
        <v>3</v>
      </c>
      <c r="J137" s="72" t="inlineStr">
        <is>
          <t>144115188075857842</t>
        </is>
      </c>
      <c r="K137" t="inlineStr">
        <is>
          <t>CC7/C3</t>
        </is>
      </c>
      <c r="L137" t="inlineStr">
        <is>
          <t>/composition/layers/96/clips/1/video/effects/transform/positiony</t>
        </is>
      </c>
      <c r="M137" s="71" t="n">
        <v>8</v>
      </c>
      <c r="N137" t="inlineStr">
        <is>
          <t>Absolute</t>
        </is>
      </c>
      <c r="O137" s="73" t="n">
        <v>0.506629943848</v>
      </c>
      <c r="P137" s="73" t="n">
        <v>0.504295349121</v>
      </c>
      <c r="Q137" t="inlineStr">
        <is>
          <t>descending</t>
        </is>
      </c>
      <c r="R137" s="71" t="n">
        <v>128</v>
      </c>
      <c r="S137" s="71" t="n">
        <v>1</v>
      </c>
      <c r="U137" t="inlineStr">
        <is>
          <t>/composition/layers/96/clips/1/video/effects/transform/positiony</t>
        </is>
      </c>
    </row>
    <row r="138">
      <c r="A138" s="71" t="n">
        <v>134</v>
      </c>
      <c r="B138" s="72" t="inlineStr">
        <is>
          <t>1784313901112</t>
        </is>
      </c>
      <c r="C138" t="inlineStr">
        <is>
          <t>wake</t>
        </is>
      </c>
      <c r="D138" s="71" t="n">
        <v>112</v>
      </c>
      <c r="E138" t="inlineStr">
        <is>
          <t>DEV3</t>
        </is>
      </c>
      <c r="F138" t="inlineStr">
        <is>
          <t>Device Knob 3</t>
        </is>
      </c>
      <c r="G138" t="inlineStr">
        <is>
          <t>cc</t>
        </is>
      </c>
      <c r="H138" s="72" t="n">
        <v>18</v>
      </c>
      <c r="I138" s="72" t="n">
        <v>1</v>
      </c>
      <c r="J138" s="72" t="inlineStr">
        <is>
          <t>144115188075860656</t>
        </is>
      </c>
      <c r="K138" t="inlineStr">
        <is>
          <t>CC18/C1</t>
        </is>
      </c>
      <c r="L138" t="inlineStr">
        <is>
          <t>/composition/layers/112/clips/1/connect</t>
        </is>
      </c>
      <c r="M138" s="71" t="n">
        <v>1028</v>
      </c>
      <c r="N138" t="inlineStr">
        <is>
          <t>CC wake</t>
        </is>
      </c>
      <c r="O138" s="73" t="n"/>
      <c r="P138" s="73" t="n"/>
      <c r="R138" s="71" t="n">
        <v>128</v>
      </c>
      <c r="S138" s="71" t="n">
        <v>1</v>
      </c>
      <c r="U138" t="inlineStr">
        <is>
          <t>/composition/layers/112/clips/1/connect</t>
        </is>
      </c>
      <c r="X138" t="inlineStr">
        <is>
          <t>Disconnected=1</t>
        </is>
      </c>
    </row>
    <row r="139">
      <c r="A139" s="71" t="n">
        <v>135</v>
      </c>
      <c r="B139" s="72" t="inlineStr">
        <is>
          <t>1784313900112</t>
        </is>
      </c>
      <c r="C139" t="inlineStr">
        <is>
          <t>opacity</t>
        </is>
      </c>
      <c r="D139" s="71" t="n">
        <v>112</v>
      </c>
      <c r="E139" t="inlineStr">
        <is>
          <t>DEV3</t>
        </is>
      </c>
      <c r="F139" t="inlineStr">
        <is>
          <t>Device Knob 3</t>
        </is>
      </c>
      <c r="G139" t="inlineStr">
        <is>
          <t>cc</t>
        </is>
      </c>
      <c r="H139" s="72" t="n">
        <v>18</v>
      </c>
      <c r="I139" s="72" t="n">
        <v>1</v>
      </c>
      <c r="J139" s="72" t="inlineStr">
        <is>
          <t>144115188075860656</t>
        </is>
      </c>
      <c r="K139" t="inlineStr">
        <is>
          <t>CC18/C1</t>
        </is>
      </c>
      <c r="L139" t="inlineStr">
        <is>
          <t>/composition/layers/112/clips/1/video/opacity</t>
        </is>
      </c>
      <c r="M139" s="71" t="n">
        <v>8</v>
      </c>
      <c r="N139" t="inlineStr">
        <is>
          <t>Absolute</t>
        </is>
      </c>
      <c r="O139" s="73" t="n">
        <v>0.35</v>
      </c>
      <c r="P139" s="73" t="n">
        <v>1</v>
      </c>
      <c r="Q139" t="inlineStr">
        <is>
          <t>ascending</t>
        </is>
      </c>
      <c r="R139" s="71" t="n">
        <v>128</v>
      </c>
      <c r="S139" s="71" t="n">
        <v>1</v>
      </c>
      <c r="U139" t="inlineStr">
        <is>
          <t>/composition/layers/112/clips/1/video/opacity</t>
        </is>
      </c>
    </row>
    <row r="140">
      <c r="A140" s="71" t="n">
        <v>136</v>
      </c>
      <c r="B140" s="72" t="inlineStr">
        <is>
          <t>1784313902112</t>
        </is>
      </c>
      <c r="C140" t="inlineStr">
        <is>
          <t>motion_rotation</t>
        </is>
      </c>
      <c r="D140" s="71" t="n">
        <v>112</v>
      </c>
      <c r="E140" t="inlineStr">
        <is>
          <t>DEV3</t>
        </is>
      </c>
      <c r="F140" t="inlineStr">
        <is>
          <t>Device Knob 3</t>
        </is>
      </c>
      <c r="G140" t="inlineStr">
        <is>
          <t>cc</t>
        </is>
      </c>
      <c r="H140" s="72" t="n">
        <v>18</v>
      </c>
      <c r="I140" s="72" t="n">
        <v>1</v>
      </c>
      <c r="J140" s="72" t="inlineStr">
        <is>
          <t>144115188075860656</t>
        </is>
      </c>
      <c r="K140" t="inlineStr">
        <is>
          <t>CC18/C1</t>
        </is>
      </c>
      <c r="L140" t="inlineStr">
        <is>
          <t>/composition/layers/112/clips/1/video/effects/transform/rotationz</t>
        </is>
      </c>
      <c r="M140" s="71" t="n">
        <v>8</v>
      </c>
      <c r="N140" t="inlineStr">
        <is>
          <t>Absolute</t>
        </is>
      </c>
      <c r="O140" s="73" t="n">
        <v>0.125</v>
      </c>
      <c r="P140" s="73" t="n">
        <v>0.875</v>
      </c>
      <c r="Q140" t="inlineStr">
        <is>
          <t>ascending</t>
        </is>
      </c>
      <c r="R140" s="71" t="n">
        <v>128</v>
      </c>
      <c r="S140" s="71" t="n">
        <v>1</v>
      </c>
      <c r="U140" t="inlineStr">
        <is>
          <t>/composition/layers/112/clips/1/video/effects/transform/rotationz</t>
        </is>
      </c>
    </row>
    <row r="141">
      <c r="A141" s="71" t="n">
        <v>137</v>
      </c>
      <c r="B141" s="72" t="inlineStr">
        <is>
          <t>1784313901095</t>
        </is>
      </c>
      <c r="C141" t="inlineStr">
        <is>
          <t>wake</t>
        </is>
      </c>
      <c r="D141" s="71" t="n">
        <v>95</v>
      </c>
      <c r="E141" t="inlineStr">
        <is>
          <t>FADER2</t>
        </is>
      </c>
      <c r="F141" t="inlineStr">
        <is>
          <t>Track Fader 2</t>
        </is>
      </c>
      <c r="G141" t="inlineStr">
        <is>
          <t>cc</t>
        </is>
      </c>
      <c r="H141" s="72" t="n">
        <v>7</v>
      </c>
      <c r="I141" s="72" t="n">
        <v>2</v>
      </c>
      <c r="J141" s="72" t="inlineStr">
        <is>
          <t>144115188075857841</t>
        </is>
      </c>
      <c r="K141" t="inlineStr">
        <is>
          <t>CC7/C2</t>
        </is>
      </c>
      <c r="L141" t="inlineStr">
        <is>
          <t>/composition/layers/95/clips/1/connect</t>
        </is>
      </c>
      <c r="M141" s="71" t="n">
        <v>1028</v>
      </c>
      <c r="N141" t="inlineStr">
        <is>
          <t>CC wake</t>
        </is>
      </c>
      <c r="O141" s="73" t="n"/>
      <c r="P141" s="73" t="n"/>
      <c r="R141" s="71" t="n">
        <v>128</v>
      </c>
      <c r="S141" s="71" t="n">
        <v>1</v>
      </c>
      <c r="U141" t="inlineStr">
        <is>
          <t>/composition/layers/95/clips/1/connect</t>
        </is>
      </c>
      <c r="X141" t="inlineStr">
        <is>
          <t>Disconnected=1</t>
        </is>
      </c>
    </row>
    <row r="142">
      <c r="A142" s="71" t="n">
        <v>138</v>
      </c>
      <c r="B142" s="72" t="inlineStr">
        <is>
          <t>1784313900095</t>
        </is>
      </c>
      <c r="C142" t="inlineStr">
        <is>
          <t>opacity</t>
        </is>
      </c>
      <c r="D142" s="71" t="n">
        <v>95</v>
      </c>
      <c r="E142" t="inlineStr">
        <is>
          <t>FADER2</t>
        </is>
      </c>
      <c r="F142" t="inlineStr">
        <is>
          <t>Track Fader 2</t>
        </is>
      </c>
      <c r="G142" t="inlineStr">
        <is>
          <t>cc</t>
        </is>
      </c>
      <c r="H142" s="72" t="n">
        <v>7</v>
      </c>
      <c r="I142" s="72" t="n">
        <v>2</v>
      </c>
      <c r="J142" s="72" t="inlineStr">
        <is>
          <t>144115188075857841</t>
        </is>
      </c>
      <c r="K142" t="inlineStr">
        <is>
          <t>CC7/C2</t>
        </is>
      </c>
      <c r="L142" t="inlineStr">
        <is>
          <t>/composition/layers/95/clips/1/video/opacity</t>
        </is>
      </c>
      <c r="M142" s="71" t="n">
        <v>8</v>
      </c>
      <c r="N142" t="inlineStr">
        <is>
          <t>Absolute</t>
        </is>
      </c>
      <c r="O142" s="73" t="n">
        <v>0.65</v>
      </c>
      <c r="P142" s="73" t="n">
        <v>1</v>
      </c>
      <c r="Q142" t="inlineStr">
        <is>
          <t>ascending</t>
        </is>
      </c>
      <c r="R142" s="71" t="n">
        <v>128</v>
      </c>
      <c r="S142" s="71" t="n">
        <v>1</v>
      </c>
      <c r="U142" t="inlineStr">
        <is>
          <t>/composition/layers/95/clips/1/video/opacity</t>
        </is>
      </c>
    </row>
    <row r="143">
      <c r="A143" s="71" t="n">
        <v>139</v>
      </c>
      <c r="B143" s="72" t="inlineStr">
        <is>
          <t>1784313902095</t>
        </is>
      </c>
      <c r="C143" t="inlineStr">
        <is>
          <t>motion_y</t>
        </is>
      </c>
      <c r="D143" s="71" t="n">
        <v>95</v>
      </c>
      <c r="E143" t="inlineStr">
        <is>
          <t>FADER2</t>
        </is>
      </c>
      <c r="F143" t="inlineStr">
        <is>
          <t>Track Fader 2</t>
        </is>
      </c>
      <c r="G143" t="inlineStr">
        <is>
          <t>cc</t>
        </is>
      </c>
      <c r="H143" s="72" t="n">
        <v>7</v>
      </c>
      <c r="I143" s="72" t="n">
        <v>2</v>
      </c>
      <c r="J143" s="72" t="inlineStr">
        <is>
          <t>144115188075857841</t>
        </is>
      </c>
      <c r="K143" t="inlineStr">
        <is>
          <t>CC7/C2</t>
        </is>
      </c>
      <c r="L143" t="inlineStr">
        <is>
          <t>/composition/layers/95/clips/1/video/effects/transform/positiony</t>
        </is>
      </c>
      <c r="M143" s="71" t="n">
        <v>8</v>
      </c>
      <c r="N143" t="inlineStr">
        <is>
          <t>Absolute</t>
        </is>
      </c>
      <c r="O143" s="73" t="n">
        <v>0.506629943848</v>
      </c>
      <c r="P143" s="73" t="n">
        <v>0.504295349121</v>
      </c>
      <c r="Q143" t="inlineStr">
        <is>
          <t>descending</t>
        </is>
      </c>
      <c r="R143" s="71" t="n">
        <v>128</v>
      </c>
      <c r="S143" s="71" t="n">
        <v>1</v>
      </c>
      <c r="U143" t="inlineStr">
        <is>
          <t>/composition/layers/95/clips/1/video/effects/transform/positiony</t>
        </is>
      </c>
    </row>
    <row r="144">
      <c r="A144" s="71" t="n">
        <v>140</v>
      </c>
      <c r="B144" s="72" t="inlineStr">
        <is>
          <t>1784313900125</t>
        </is>
      </c>
      <c r="C144" t="inlineStr">
        <is>
          <t>button_connect</t>
        </is>
      </c>
      <c r="D144" s="71" t="n">
        <v>125</v>
      </c>
      <c r="E144" t="inlineStr">
        <is>
          <t>STOPALL</t>
        </is>
      </c>
      <c r="F144" t="inlineStr">
        <is>
          <t>Stop All Clips</t>
        </is>
      </c>
      <c r="G144" t="inlineStr">
        <is>
          <t>note</t>
        </is>
      </c>
      <c r="H144" s="72" t="n">
        <v>81</v>
      </c>
      <c r="I144" s="72" t="n">
        <v>1</v>
      </c>
      <c r="J144" s="72" t="inlineStr">
        <is>
          <t>72057594037948816</t>
        </is>
      </c>
      <c r="K144" t="inlineStr">
        <is>
          <t>N81/C1</t>
        </is>
      </c>
      <c r="L144" t="inlineStr">
        <is>
          <t>/composition/layers/125/clips/1/connect</t>
        </is>
      </c>
      <c r="M144" s="71" t="n">
        <v>1028</v>
      </c>
      <c r="N144" t="inlineStr">
        <is>
          <t>Button / value</t>
        </is>
      </c>
      <c r="O144" s="73" t="n"/>
      <c r="P144" s="73" t="n"/>
      <c r="R144" s="71" t="n">
        <v>128</v>
      </c>
      <c r="S144" s="71" t="n">
        <v>0</v>
      </c>
      <c r="T144" t="inlineStr">
        <is>
          <t>APC40 mkII</t>
        </is>
      </c>
      <c r="U144" t="inlineStr">
        <is>
          <t>/composition/layers/125/clips/1/connect</t>
        </is>
      </c>
      <c r="V144" t="inlineStr">
        <is>
          <t>/composition/layers/125/clips/1/connected</t>
        </is>
      </c>
      <c r="W144" t="inlineStr">
        <is>
          <t>/composition/layers/125/clips/1/connected</t>
        </is>
      </c>
      <c r="X144" t="inlineStr">
        <is>
          <t>Connected=0.039370078740157479769; Connected &amp; previewing=0.039370078740157479769; Disconnected=0; Empty=0; Off=0; Previewing=0</t>
        </is>
      </c>
    </row>
    <row r="145">
      <c r="A145" s="71" t="n">
        <v>141</v>
      </c>
      <c r="B145" s="72" t="inlineStr">
        <is>
          <t>1784313900088</t>
        </is>
      </c>
      <c r="C145" t="inlineStr">
        <is>
          <t>button_connect</t>
        </is>
      </c>
      <c r="D145" s="71" t="n">
        <v>88</v>
      </c>
      <c r="E145" t="inlineStr">
        <is>
          <t>A/B</t>
        </is>
      </c>
      <c r="F145" t="inlineStr">
        <is>
          <t>Crossfade A B 3</t>
        </is>
      </c>
      <c r="G145" t="inlineStr">
        <is>
          <t>note</t>
        </is>
      </c>
      <c r="H145" s="72" t="n">
        <v>66</v>
      </c>
      <c r="I145" s="72" t="n">
        <v>3</v>
      </c>
      <c r="J145" s="72" t="inlineStr">
        <is>
          <t>72057594037944978</t>
        </is>
      </c>
      <c r="K145" t="inlineStr">
        <is>
          <t>N66/C3</t>
        </is>
      </c>
      <c r="L145" t="inlineStr">
        <is>
          <t>/composition/layers/88/clips/1/connect</t>
        </is>
      </c>
      <c r="M145" s="71" t="n">
        <v>1028</v>
      </c>
      <c r="N145" t="inlineStr">
        <is>
          <t>Button / value</t>
        </is>
      </c>
      <c r="O145" s="73" t="n"/>
      <c r="P145" s="73" t="n"/>
      <c r="R145" s="71" t="n">
        <v>128</v>
      </c>
      <c r="S145" s="71" t="n">
        <v>0</v>
      </c>
      <c r="T145" t="inlineStr">
        <is>
          <t>APC40 mkII</t>
        </is>
      </c>
      <c r="U145" t="inlineStr">
        <is>
          <t>/composition/layers/88/clips/1/connect</t>
        </is>
      </c>
      <c r="V145" t="inlineStr">
        <is>
          <t>/composition/layers/88/clips/1/connected</t>
        </is>
      </c>
      <c r="W145" t="inlineStr">
        <is>
          <t>/composition/layers/88/clips/1/connected</t>
        </is>
      </c>
      <c r="X145" t="inlineStr">
        <is>
          <t>Connected=0.070866141732283463583; Connected &amp; previewing=0.070866141732283463583; Disconnected=0; Empty=0; Off=0; Previewing=0</t>
        </is>
      </c>
    </row>
    <row r="146">
      <c r="A146" s="71" t="n">
        <v>142</v>
      </c>
      <c r="B146" s="72" t="inlineStr">
        <is>
          <t>1784313900068</t>
        </is>
      </c>
      <c r="C146" t="inlineStr">
        <is>
          <t>button_connect</t>
        </is>
      </c>
      <c r="D146" s="71" t="n">
        <v>68</v>
      </c>
      <c r="E146" t="inlineStr">
        <is>
          <t>●</t>
        </is>
      </c>
      <c r="F146" t="inlineStr">
        <is>
          <t>Record Arm 7</t>
        </is>
      </c>
      <c r="G146" t="inlineStr">
        <is>
          <t>note</t>
        </is>
      </c>
      <c r="H146" s="72" t="n">
        <v>48</v>
      </c>
      <c r="I146" s="72" t="n">
        <v>7</v>
      </c>
      <c r="J146" s="72" t="inlineStr">
        <is>
          <t>72057594037940374</t>
        </is>
      </c>
      <c r="K146" t="inlineStr">
        <is>
          <t>N48/C7</t>
        </is>
      </c>
      <c r="L146" t="inlineStr">
        <is>
          <t>/composition/layers/68/clips/1/connect</t>
        </is>
      </c>
      <c r="M146" s="71" t="n">
        <v>1028</v>
      </c>
      <c r="N146" t="inlineStr">
        <is>
          <t>Button / value</t>
        </is>
      </c>
      <c r="O146" s="73" t="n"/>
      <c r="P146" s="73" t="n"/>
      <c r="R146" s="71" t="n">
        <v>128</v>
      </c>
      <c r="S146" s="71" t="n">
        <v>0</v>
      </c>
      <c r="T146" t="inlineStr">
        <is>
          <t>APC40 mkII</t>
        </is>
      </c>
      <c r="U146" t="inlineStr">
        <is>
          <t>/composition/layers/68/clips/1/connect</t>
        </is>
      </c>
      <c r="V146" t="inlineStr">
        <is>
          <t>/composition/layers/68/clips/1/connected</t>
        </is>
      </c>
      <c r="W146" t="inlineStr">
        <is>
          <t>/composition/layers/68/clips/1/connected</t>
        </is>
      </c>
      <c r="X146" t="inlineStr">
        <is>
          <t>Connected=0.039370078740157479769; Connected &amp; previewing=0.039370078740157479769; Disconnected=0; Empty=0; Off=0; Previewing=0</t>
        </is>
      </c>
    </row>
    <row r="147">
      <c r="A147" s="71" t="n">
        <v>143</v>
      </c>
      <c r="B147" s="72" t="inlineStr">
        <is>
          <t>1784313900081</t>
        </is>
      </c>
      <c r="C147" t="inlineStr">
        <is>
          <t>button_connect</t>
        </is>
      </c>
      <c r="D147" s="71" t="n">
        <v>81</v>
      </c>
      <c r="E147" t="inlineStr">
        <is>
          <t>4</t>
        </is>
      </c>
      <c r="F147" t="inlineStr">
        <is>
          <t>Activator 4</t>
        </is>
      </c>
      <c r="G147" t="inlineStr">
        <is>
          <t>note</t>
        </is>
      </c>
      <c r="H147" s="72" t="n">
        <v>50</v>
      </c>
      <c r="I147" s="72" t="n">
        <v>4</v>
      </c>
      <c r="J147" s="72" t="inlineStr">
        <is>
          <t>72057594037940883</t>
        </is>
      </c>
      <c r="K147" t="inlineStr">
        <is>
          <t>N50/C4</t>
        </is>
      </c>
      <c r="L147" t="inlineStr">
        <is>
          <t>/composition/layers/81/clips/1/connect</t>
        </is>
      </c>
      <c r="M147" s="71" t="n">
        <v>1028</v>
      </c>
      <c r="N147" t="inlineStr">
        <is>
          <t>Button / value</t>
        </is>
      </c>
      <c r="O147" s="73" t="n"/>
      <c r="P147" s="73" t="n"/>
      <c r="R147" s="71" t="n">
        <v>128</v>
      </c>
      <c r="S147" s="71" t="n">
        <v>0</v>
      </c>
      <c r="T147" t="inlineStr">
        <is>
          <t>APC40 mkII</t>
        </is>
      </c>
      <c r="U147" t="inlineStr">
        <is>
          <t>/composition/layers/81/clips/1/connect</t>
        </is>
      </c>
      <c r="V147" t="inlineStr">
        <is>
          <t>/composition/layers/81/clips/1/connected</t>
        </is>
      </c>
      <c r="W147" t="inlineStr">
        <is>
          <t>/composition/layers/81/clips/1/connected</t>
        </is>
      </c>
      <c r="X147" t="inlineStr">
        <is>
          <t>Connected=0.16535433070866142891; Connected &amp; previewing=0.16535433070866142891; Disconnected=0; Empty=0; Off=0; Previewing=0</t>
        </is>
      </c>
    </row>
    <row r="148">
      <c r="A148" s="71" t="n">
        <v>144</v>
      </c>
      <c r="B148" s="72" t="inlineStr">
        <is>
          <t>1784313900084</t>
        </is>
      </c>
      <c r="C148" t="inlineStr">
        <is>
          <t>button_connect</t>
        </is>
      </c>
      <c r="D148" s="71" t="n">
        <v>84</v>
      </c>
      <c r="E148" t="inlineStr">
        <is>
          <t>7</t>
        </is>
      </c>
      <c r="F148" t="inlineStr">
        <is>
          <t>Activator 7</t>
        </is>
      </c>
      <c r="G148" t="inlineStr">
        <is>
          <t>note</t>
        </is>
      </c>
      <c r="H148" s="72" t="n">
        <v>50</v>
      </c>
      <c r="I148" s="72" t="n">
        <v>7</v>
      </c>
      <c r="J148" s="72" t="inlineStr">
        <is>
          <t>72057594037940886</t>
        </is>
      </c>
      <c r="K148" t="inlineStr">
        <is>
          <t>N50/C7</t>
        </is>
      </c>
      <c r="L148" t="inlineStr">
        <is>
          <t>/composition/layers/84/clips/1/connect</t>
        </is>
      </c>
      <c r="M148" s="71" t="n">
        <v>1028</v>
      </c>
      <c r="N148" t="inlineStr">
        <is>
          <t>Button / value</t>
        </is>
      </c>
      <c r="O148" s="73" t="n"/>
      <c r="P148" s="73" t="n"/>
      <c r="R148" s="71" t="n">
        <v>128</v>
      </c>
      <c r="S148" s="71" t="n">
        <v>0</v>
      </c>
      <c r="T148" t="inlineStr">
        <is>
          <t>APC40 mkII</t>
        </is>
      </c>
      <c r="U148" t="inlineStr">
        <is>
          <t>/composition/layers/84/clips/1/connect</t>
        </is>
      </c>
      <c r="V148" t="inlineStr">
        <is>
          <t>/composition/layers/84/clips/1/connected</t>
        </is>
      </c>
      <c r="W148" t="inlineStr">
        <is>
          <t>/composition/layers/84/clips/1/connected</t>
        </is>
      </c>
      <c r="X148" t="inlineStr">
        <is>
          <t>Connected=0.16535433070866142891; Connected &amp; previewing=0.16535433070866142891; Disconnected=0; Empty=0; Off=0; Previewing=0</t>
        </is>
      </c>
    </row>
    <row r="149">
      <c r="A149" s="71" t="n">
        <v>145</v>
      </c>
      <c r="B149" s="72" t="inlineStr">
        <is>
          <t>1784313900089</t>
        </is>
      </c>
      <c r="C149" t="inlineStr">
        <is>
          <t>button_connect</t>
        </is>
      </c>
      <c r="D149" s="71" t="n">
        <v>89</v>
      </c>
      <c r="E149" t="inlineStr">
        <is>
          <t>A/B</t>
        </is>
      </c>
      <c r="F149" t="inlineStr">
        <is>
          <t>Crossfade A B 4</t>
        </is>
      </c>
      <c r="G149" t="inlineStr">
        <is>
          <t>note</t>
        </is>
      </c>
      <c r="H149" s="72" t="n">
        <v>66</v>
      </c>
      <c r="I149" s="72" t="n">
        <v>4</v>
      </c>
      <c r="J149" s="72" t="inlineStr">
        <is>
          <t>72057594037944979</t>
        </is>
      </c>
      <c r="K149" t="inlineStr">
        <is>
          <t>N66/C4</t>
        </is>
      </c>
      <c r="L149" t="inlineStr">
        <is>
          <t>/composition/layers/89/clips/1/connect</t>
        </is>
      </c>
      <c r="M149" s="71" t="n">
        <v>1028</v>
      </c>
      <c r="N149" t="inlineStr">
        <is>
          <t>Button / value</t>
        </is>
      </c>
      <c r="O149" s="73" t="n"/>
      <c r="P149" s="73" t="n"/>
      <c r="R149" s="71" t="n">
        <v>128</v>
      </c>
      <c r="S149" s="71" t="n">
        <v>0</v>
      </c>
      <c r="T149" t="inlineStr">
        <is>
          <t>APC40 mkII</t>
        </is>
      </c>
      <c r="U149" t="inlineStr">
        <is>
          <t>/composition/layers/89/clips/1/connect</t>
        </is>
      </c>
      <c r="V149" t="inlineStr">
        <is>
          <t>/composition/layers/89/clips/1/connected</t>
        </is>
      </c>
      <c r="W149" t="inlineStr">
        <is>
          <t>/composition/layers/89/clips/1/connected</t>
        </is>
      </c>
      <c r="X149" t="inlineStr">
        <is>
          <t>Connected=0.070866141732283463583; Connected &amp; previewing=0.070866141732283463583; Disconnected=0; Empty=0; Off=0; Previewing=0</t>
        </is>
      </c>
    </row>
    <row r="150">
      <c r="A150" s="71" t="n">
        <v>146</v>
      </c>
      <c r="B150" s="72" t="inlineStr">
        <is>
          <t>1784313900074</t>
        </is>
      </c>
      <c r="C150" t="inlineStr">
        <is>
          <t>button_connect</t>
        </is>
      </c>
      <c r="D150" s="71" t="n">
        <v>74</v>
      </c>
      <c r="E150" t="inlineStr">
        <is>
          <t>S</t>
        </is>
      </c>
      <c r="F150" t="inlineStr">
        <is>
          <t>Solo 5</t>
        </is>
      </c>
      <c r="G150" t="inlineStr">
        <is>
          <t>note</t>
        </is>
      </c>
      <c r="H150" s="72" t="n">
        <v>49</v>
      </c>
      <c r="I150" s="72" t="n">
        <v>5</v>
      </c>
      <c r="J150" s="72" t="inlineStr">
        <is>
          <t>72057594037940628</t>
        </is>
      </c>
      <c r="K150" t="inlineStr">
        <is>
          <t>N49/C5</t>
        </is>
      </c>
      <c r="L150" t="inlineStr">
        <is>
          <t>/composition/layers/74/clips/1/connect</t>
        </is>
      </c>
      <c r="M150" s="71" t="n">
        <v>1028</v>
      </c>
      <c r="N150" t="inlineStr">
        <is>
          <t>Button / value</t>
        </is>
      </c>
      <c r="O150" s="73" t="n"/>
      <c r="P150" s="73" t="n"/>
      <c r="R150" s="71" t="n">
        <v>128</v>
      </c>
      <c r="S150" s="71" t="n">
        <v>0</v>
      </c>
      <c r="T150" t="inlineStr">
        <is>
          <t>APC40 mkII</t>
        </is>
      </c>
      <c r="U150" t="inlineStr">
        <is>
          <t>/composition/layers/74/clips/1/connect</t>
        </is>
      </c>
      <c r="V150" t="inlineStr">
        <is>
          <t>/composition/layers/74/clips/1/connected</t>
        </is>
      </c>
      <c r="W150" t="inlineStr">
        <is>
          <t>/composition/layers/74/clips/1/connected</t>
        </is>
      </c>
      <c r="X150" t="inlineStr">
        <is>
          <t>Connected=1; Connected &amp; previewing=1; Disconnected=0; Empty=0; Off=0; Previewing=0</t>
        </is>
      </c>
    </row>
    <row r="151">
      <c r="A151" s="71" t="n">
        <v>147</v>
      </c>
      <c r="B151" s="72" t="inlineStr">
        <is>
          <t>1784313900076</t>
        </is>
      </c>
      <c r="C151" t="inlineStr">
        <is>
          <t>button_connect</t>
        </is>
      </c>
      <c r="D151" s="71" t="n">
        <v>76</v>
      </c>
      <c r="E151" t="inlineStr">
        <is>
          <t>S</t>
        </is>
      </c>
      <c r="F151" t="inlineStr">
        <is>
          <t>Solo 7</t>
        </is>
      </c>
      <c r="G151" t="inlineStr">
        <is>
          <t>note</t>
        </is>
      </c>
      <c r="H151" s="72" t="n">
        <v>49</v>
      </c>
      <c r="I151" s="72" t="n">
        <v>7</v>
      </c>
      <c r="J151" s="72" t="inlineStr">
        <is>
          <t>72057594037940630</t>
        </is>
      </c>
      <c r="K151" t="inlineStr">
        <is>
          <t>N49/C7</t>
        </is>
      </c>
      <c r="L151" t="inlineStr">
        <is>
          <t>/composition/layers/76/clips/1/connect</t>
        </is>
      </c>
      <c r="M151" s="71" t="n">
        <v>1028</v>
      </c>
      <c r="N151" t="inlineStr">
        <is>
          <t>Button / value</t>
        </is>
      </c>
      <c r="O151" s="73" t="n"/>
      <c r="P151" s="73" t="n"/>
      <c r="R151" s="71" t="n">
        <v>128</v>
      </c>
      <c r="S151" s="71" t="n">
        <v>0</v>
      </c>
      <c r="T151" t="inlineStr">
        <is>
          <t>APC40 mkII</t>
        </is>
      </c>
      <c r="U151" t="inlineStr">
        <is>
          <t>/composition/layers/76/clips/1/connect</t>
        </is>
      </c>
      <c r="V151" t="inlineStr">
        <is>
          <t>/composition/layers/76/clips/1/connected</t>
        </is>
      </c>
      <c r="W151" t="inlineStr">
        <is>
          <t>/composition/layers/76/clips/1/connected</t>
        </is>
      </c>
      <c r="X151" t="inlineStr">
        <is>
          <t>Connected=1; Connected &amp; previewing=1; Disconnected=0; Empty=0; Off=0; Previewing=0</t>
        </is>
      </c>
    </row>
    <row r="152">
      <c r="A152" s="71" t="n">
        <v>148</v>
      </c>
      <c r="B152" s="72" t="inlineStr">
        <is>
          <t>1784313900127</t>
        </is>
      </c>
      <c r="C152" t="inlineStr">
        <is>
          <t>button_connect</t>
        </is>
      </c>
      <c r="D152" s="71" t="n">
        <v>127</v>
      </c>
      <c r="E152" t="inlineStr">
        <is>
          <t>D</t>
        </is>
      </c>
      <c r="F152" t="inlineStr">
        <is>
          <t>Bank Down</t>
        </is>
      </c>
      <c r="G152" t="inlineStr">
        <is>
          <t>note</t>
        </is>
      </c>
      <c r="H152" s="72" t="n">
        <v>95</v>
      </c>
      <c r="I152" s="72" t="n">
        <v>1</v>
      </c>
      <c r="J152" s="72" t="inlineStr">
        <is>
          <t>72057594037952400</t>
        </is>
      </c>
      <c r="K152" t="inlineStr">
        <is>
          <t>N95/C1</t>
        </is>
      </c>
      <c r="L152" t="inlineStr">
        <is>
          <t>/composition/layers/127/clips/1/connect</t>
        </is>
      </c>
      <c r="M152" s="71" t="n">
        <v>1028</v>
      </c>
      <c r="N152" t="inlineStr">
        <is>
          <t>Button / value</t>
        </is>
      </c>
      <c r="O152" s="73" t="n"/>
      <c r="P152" s="73" t="n"/>
      <c r="R152" s="71" t="n">
        <v>128</v>
      </c>
      <c r="S152" s="71" t="n">
        <v>0</v>
      </c>
      <c r="T152" t="inlineStr">
        <is>
          <t>APC40 mkII</t>
        </is>
      </c>
      <c r="U152" t="inlineStr">
        <is>
          <t>/composition/layers/127/clips/1/connect</t>
        </is>
      </c>
      <c r="V152" t="inlineStr">
        <is>
          <t>/composition/layers/127/clips/1/connected</t>
        </is>
      </c>
      <c r="W152" t="inlineStr">
        <is>
          <t>/composition/layers/127/clips/1/connected</t>
        </is>
      </c>
      <c r="X152" t="inlineStr">
        <is>
          <t>Connected=0.38582677165354328785; Connected &amp; previewing=0.38582677165354328785; Disconnected=0; Empty=0; Off=0; Previewing=0</t>
        </is>
      </c>
    </row>
    <row r="153">
      <c r="A153" s="71" t="n">
        <v>149</v>
      </c>
      <c r="B153" s="72" t="inlineStr">
        <is>
          <t>1784313901116</t>
        </is>
      </c>
      <c r="C153" t="inlineStr">
        <is>
          <t>wake</t>
        </is>
      </c>
      <c r="D153" s="71" t="n">
        <v>116</v>
      </c>
      <c r="E153" t="inlineStr">
        <is>
          <t>DEV7</t>
        </is>
      </c>
      <c r="F153" t="inlineStr">
        <is>
          <t>Device Knob 7</t>
        </is>
      </c>
      <c r="G153" t="inlineStr">
        <is>
          <t>cc</t>
        </is>
      </c>
      <c r="H153" s="72" t="n">
        <v>22</v>
      </c>
      <c r="I153" s="72" t="n">
        <v>1</v>
      </c>
      <c r="J153" s="72" t="inlineStr">
        <is>
          <t>144115188075861680</t>
        </is>
      </c>
      <c r="K153" t="inlineStr">
        <is>
          <t>CC22/C1</t>
        </is>
      </c>
      <c r="L153" t="inlineStr">
        <is>
          <t>/composition/layers/116/clips/1/connect</t>
        </is>
      </c>
      <c r="M153" s="71" t="n">
        <v>1028</v>
      </c>
      <c r="N153" t="inlineStr">
        <is>
          <t>CC wake</t>
        </is>
      </c>
      <c r="O153" s="73" t="n"/>
      <c r="P153" s="73" t="n"/>
      <c r="R153" s="71" t="n">
        <v>128</v>
      </c>
      <c r="S153" s="71" t="n">
        <v>1</v>
      </c>
      <c r="U153" t="inlineStr">
        <is>
          <t>/composition/layers/116/clips/1/connect</t>
        </is>
      </c>
      <c r="X153" t="inlineStr">
        <is>
          <t>Disconnected=1</t>
        </is>
      </c>
    </row>
    <row r="154">
      <c r="A154" s="71" t="n">
        <v>150</v>
      </c>
      <c r="B154" s="72" t="inlineStr">
        <is>
          <t>1784313900116</t>
        </is>
      </c>
      <c r="C154" t="inlineStr">
        <is>
          <t>opacity</t>
        </is>
      </c>
      <c r="D154" s="71" t="n">
        <v>116</v>
      </c>
      <c r="E154" t="inlineStr">
        <is>
          <t>DEV7</t>
        </is>
      </c>
      <c r="F154" t="inlineStr">
        <is>
          <t>Device Knob 7</t>
        </is>
      </c>
      <c r="G154" t="inlineStr">
        <is>
          <t>cc</t>
        </is>
      </c>
      <c r="H154" s="72" t="n">
        <v>22</v>
      </c>
      <c r="I154" s="72" t="n">
        <v>1</v>
      </c>
      <c r="J154" s="72" t="inlineStr">
        <is>
          <t>144115188075861680</t>
        </is>
      </c>
      <c r="K154" t="inlineStr">
        <is>
          <t>CC22/C1</t>
        </is>
      </c>
      <c r="L154" t="inlineStr">
        <is>
          <t>/composition/layers/116/clips/1/video/opacity</t>
        </is>
      </c>
      <c r="M154" s="71" t="n">
        <v>8</v>
      </c>
      <c r="N154" t="inlineStr">
        <is>
          <t>Absolute</t>
        </is>
      </c>
      <c r="O154" s="73" t="n">
        <v>0.35</v>
      </c>
      <c r="P154" s="73" t="n">
        <v>1</v>
      </c>
      <c r="Q154" t="inlineStr">
        <is>
          <t>ascending</t>
        </is>
      </c>
      <c r="R154" s="71" t="n">
        <v>128</v>
      </c>
      <c r="S154" s="71" t="n">
        <v>1</v>
      </c>
      <c r="U154" t="inlineStr">
        <is>
          <t>/composition/layers/116/clips/1/video/opacity</t>
        </is>
      </c>
    </row>
    <row r="155">
      <c r="A155" s="71" t="n">
        <v>151</v>
      </c>
      <c r="B155" s="72" t="inlineStr">
        <is>
          <t>1784313902116</t>
        </is>
      </c>
      <c r="C155" t="inlineStr">
        <is>
          <t>motion_rotation</t>
        </is>
      </c>
      <c r="D155" s="71" t="n">
        <v>116</v>
      </c>
      <c r="E155" t="inlineStr">
        <is>
          <t>DEV7</t>
        </is>
      </c>
      <c r="F155" t="inlineStr">
        <is>
          <t>Device Knob 7</t>
        </is>
      </c>
      <c r="G155" t="inlineStr">
        <is>
          <t>cc</t>
        </is>
      </c>
      <c r="H155" s="72" t="n">
        <v>22</v>
      </c>
      <c r="I155" s="72" t="n">
        <v>1</v>
      </c>
      <c r="J155" s="72" t="inlineStr">
        <is>
          <t>144115188075861680</t>
        </is>
      </c>
      <c r="K155" t="inlineStr">
        <is>
          <t>CC22/C1</t>
        </is>
      </c>
      <c r="L155" t="inlineStr">
        <is>
          <t>/composition/layers/116/clips/1/video/effects/transform/rotationz</t>
        </is>
      </c>
      <c r="M155" s="71" t="n">
        <v>8</v>
      </c>
      <c r="N155" t="inlineStr">
        <is>
          <t>Absolute</t>
        </is>
      </c>
      <c r="O155" s="73" t="n">
        <v>0.125</v>
      </c>
      <c r="P155" s="73" t="n">
        <v>0.875</v>
      </c>
      <c r="Q155" t="inlineStr">
        <is>
          <t>ascending</t>
        </is>
      </c>
      <c r="R155" s="71" t="n">
        <v>128</v>
      </c>
      <c r="S155" s="71" t="n">
        <v>1</v>
      </c>
      <c r="U155" t="inlineStr">
        <is>
          <t>/composition/layers/116/clips/1/video/effects/transform/rotationz</t>
        </is>
      </c>
    </row>
    <row r="156">
      <c r="A156" s="71" t="n">
        <v>152</v>
      </c>
      <c r="B156" s="72" t="inlineStr">
        <is>
          <t>1784313900124</t>
        </is>
      </c>
      <c r="C156" t="inlineStr">
        <is>
          <t>button_connect</t>
        </is>
      </c>
      <c r="D156" s="71" t="n">
        <v>124</v>
      </c>
      <c r="E156" t="inlineStr">
        <is>
          <t>PAN</t>
        </is>
      </c>
      <c r="F156" t="inlineStr">
        <is>
          <t>Pan Mode</t>
        </is>
      </c>
      <c r="G156" t="inlineStr">
        <is>
          <t>note</t>
        </is>
      </c>
      <c r="H156" s="72" t="n">
        <v>87</v>
      </c>
      <c r="I156" s="72" t="n">
        <v>1</v>
      </c>
      <c r="J156" s="72" t="inlineStr">
        <is>
          <t>72057594037950352</t>
        </is>
      </c>
      <c r="K156" t="inlineStr">
        <is>
          <t>N87/C1</t>
        </is>
      </c>
      <c r="L156" t="inlineStr">
        <is>
          <t>/composition/layers/124/clips/1/connect</t>
        </is>
      </c>
      <c r="M156" s="71" t="n">
        <v>1028</v>
      </c>
      <c r="N156" t="inlineStr">
        <is>
          <t>Button / value</t>
        </is>
      </c>
      <c r="O156" s="73" t="n"/>
      <c r="P156" s="73" t="n"/>
      <c r="R156" s="71" t="n">
        <v>128</v>
      </c>
      <c r="S156" s="71" t="n">
        <v>0</v>
      </c>
      <c r="T156" t="inlineStr">
        <is>
          <t>APC40 mkII</t>
        </is>
      </c>
      <c r="U156" t="inlineStr">
        <is>
          <t>/composition/layers/124/clips/1/connect</t>
        </is>
      </c>
      <c r="V156" t="inlineStr">
        <is>
          <t>/composition/layers/124/clips/1/connected</t>
        </is>
      </c>
      <c r="W156" t="inlineStr">
        <is>
          <t>/composition/layers/124/clips/1/connected</t>
        </is>
      </c>
      <c r="X156" t="inlineStr">
        <is>
          <t>Connected=0.38582677165354328785; Connected &amp; previewing=0.38582677165354328785; Disconnected=0; Empty=0; Off=0; Previewing=0</t>
        </is>
      </c>
    </row>
    <row r="157">
      <c r="A157" s="71" t="n">
        <v>153</v>
      </c>
      <c r="B157" s="72" t="inlineStr">
        <is>
          <t>1784313901115</t>
        </is>
      </c>
      <c r="C157" t="inlineStr">
        <is>
          <t>wake</t>
        </is>
      </c>
      <c r="D157" s="71" t="n">
        <v>115</v>
      </c>
      <c r="E157" t="inlineStr">
        <is>
          <t>DEV6</t>
        </is>
      </c>
      <c r="F157" t="inlineStr">
        <is>
          <t>Device Knob 6</t>
        </is>
      </c>
      <c r="G157" t="inlineStr">
        <is>
          <t>cc</t>
        </is>
      </c>
      <c r="H157" s="72" t="n">
        <v>21</v>
      </c>
      <c r="I157" s="72" t="n">
        <v>1</v>
      </c>
      <c r="J157" s="72" t="inlineStr">
        <is>
          <t>144115188075861424</t>
        </is>
      </c>
      <c r="K157" t="inlineStr">
        <is>
          <t>CC21/C1</t>
        </is>
      </c>
      <c r="L157" t="inlineStr">
        <is>
          <t>/composition/layers/115/clips/1/connect</t>
        </is>
      </c>
      <c r="M157" s="71" t="n">
        <v>1028</v>
      </c>
      <c r="N157" t="inlineStr">
        <is>
          <t>CC wake</t>
        </is>
      </c>
      <c r="O157" s="73" t="n"/>
      <c r="P157" s="73" t="n"/>
      <c r="R157" s="71" t="n">
        <v>128</v>
      </c>
      <c r="S157" s="71" t="n">
        <v>1</v>
      </c>
      <c r="U157" t="inlineStr">
        <is>
          <t>/composition/layers/115/clips/1/connect</t>
        </is>
      </c>
      <c r="X157" t="inlineStr">
        <is>
          <t>Disconnected=1</t>
        </is>
      </c>
    </row>
    <row r="158">
      <c r="A158" s="71" t="n">
        <v>154</v>
      </c>
      <c r="B158" s="72" t="inlineStr">
        <is>
          <t>1784313900115</t>
        </is>
      </c>
      <c r="C158" t="inlineStr">
        <is>
          <t>opacity</t>
        </is>
      </c>
      <c r="D158" s="71" t="n">
        <v>115</v>
      </c>
      <c r="E158" t="inlineStr">
        <is>
          <t>DEV6</t>
        </is>
      </c>
      <c r="F158" t="inlineStr">
        <is>
          <t>Device Knob 6</t>
        </is>
      </c>
      <c r="G158" t="inlineStr">
        <is>
          <t>cc</t>
        </is>
      </c>
      <c r="H158" s="72" t="n">
        <v>21</v>
      </c>
      <c r="I158" s="72" t="n">
        <v>1</v>
      </c>
      <c r="J158" s="72" t="inlineStr">
        <is>
          <t>144115188075861424</t>
        </is>
      </c>
      <c r="K158" t="inlineStr">
        <is>
          <t>CC21/C1</t>
        </is>
      </c>
      <c r="L158" t="inlineStr">
        <is>
          <t>/composition/layers/115/clips/1/video/opacity</t>
        </is>
      </c>
      <c r="M158" s="71" t="n">
        <v>8</v>
      </c>
      <c r="N158" t="inlineStr">
        <is>
          <t>Absolute</t>
        </is>
      </c>
      <c r="O158" s="73" t="n">
        <v>0.35</v>
      </c>
      <c r="P158" s="73" t="n">
        <v>1</v>
      </c>
      <c r="Q158" t="inlineStr">
        <is>
          <t>ascending</t>
        </is>
      </c>
      <c r="R158" s="71" t="n">
        <v>128</v>
      </c>
      <c r="S158" s="71" t="n">
        <v>1</v>
      </c>
      <c r="U158" t="inlineStr">
        <is>
          <t>/composition/layers/115/clips/1/video/opacity</t>
        </is>
      </c>
    </row>
    <row r="159">
      <c r="A159" s="71" t="n">
        <v>155</v>
      </c>
      <c r="B159" s="72" t="inlineStr">
        <is>
          <t>1784313902115</t>
        </is>
      </c>
      <c r="C159" t="inlineStr">
        <is>
          <t>motion_rotation</t>
        </is>
      </c>
      <c r="D159" s="71" t="n">
        <v>115</v>
      </c>
      <c r="E159" t="inlineStr">
        <is>
          <t>DEV6</t>
        </is>
      </c>
      <c r="F159" t="inlineStr">
        <is>
          <t>Device Knob 6</t>
        </is>
      </c>
      <c r="G159" t="inlineStr">
        <is>
          <t>cc</t>
        </is>
      </c>
      <c r="H159" s="72" t="n">
        <v>21</v>
      </c>
      <c r="I159" s="72" t="n">
        <v>1</v>
      </c>
      <c r="J159" s="72" t="inlineStr">
        <is>
          <t>144115188075861424</t>
        </is>
      </c>
      <c r="K159" t="inlineStr">
        <is>
          <t>CC21/C1</t>
        </is>
      </c>
      <c r="L159" t="inlineStr">
        <is>
          <t>/composition/layers/115/clips/1/video/effects/transform/rotationz</t>
        </is>
      </c>
      <c r="M159" s="71" t="n">
        <v>8</v>
      </c>
      <c r="N159" t="inlineStr">
        <is>
          <t>Absolute</t>
        </is>
      </c>
      <c r="O159" s="73" t="n">
        <v>0.125</v>
      </c>
      <c r="P159" s="73" t="n">
        <v>0.875</v>
      </c>
      <c r="Q159" t="inlineStr">
        <is>
          <t>ascending</t>
        </is>
      </c>
      <c r="R159" s="71" t="n">
        <v>128</v>
      </c>
      <c r="S159" s="71" t="n">
        <v>1</v>
      </c>
      <c r="U159" t="inlineStr">
        <is>
          <t>/composition/layers/115/clips/1/video/effects/transform/rotationz</t>
        </is>
      </c>
    </row>
    <row r="160">
      <c r="A160" s="71" t="n">
        <v>156</v>
      </c>
      <c r="B160" s="72" t="inlineStr">
        <is>
          <t>1784313900093</t>
        </is>
      </c>
      <c r="C160" t="inlineStr">
        <is>
          <t>button_connect</t>
        </is>
      </c>
      <c r="D160" s="71" t="n">
        <v>93</v>
      </c>
      <c r="E160" t="inlineStr">
        <is>
          <t>A/B</t>
        </is>
      </c>
      <c r="F160" t="inlineStr">
        <is>
          <t>Crossfade A B 8</t>
        </is>
      </c>
      <c r="G160" t="inlineStr">
        <is>
          <t>note</t>
        </is>
      </c>
      <c r="H160" s="72" t="n">
        <v>66</v>
      </c>
      <c r="I160" s="72" t="n">
        <v>8</v>
      </c>
      <c r="J160" s="72" t="inlineStr">
        <is>
          <t>72057594037944983</t>
        </is>
      </c>
      <c r="K160" t="inlineStr">
        <is>
          <t>N66/C8</t>
        </is>
      </c>
      <c r="L160" t="inlineStr">
        <is>
          <t>/composition/layers/93/clips/1/connect</t>
        </is>
      </c>
      <c r="M160" s="71" t="n">
        <v>1028</v>
      </c>
      <c r="N160" t="inlineStr">
        <is>
          <t>Button / value</t>
        </is>
      </c>
      <c r="O160" s="73" t="n"/>
      <c r="P160" s="73" t="n"/>
      <c r="R160" s="71" t="n">
        <v>128</v>
      </c>
      <c r="S160" s="71" t="n">
        <v>0</v>
      </c>
      <c r="T160" t="inlineStr">
        <is>
          <t>APC40 mkII</t>
        </is>
      </c>
      <c r="U160" t="inlineStr">
        <is>
          <t>/composition/layers/93/clips/1/connect</t>
        </is>
      </c>
      <c r="V160" t="inlineStr">
        <is>
          <t>/composition/layers/93/clips/1/connected</t>
        </is>
      </c>
      <c r="W160" t="inlineStr">
        <is>
          <t>/composition/layers/93/clips/1/connected</t>
        </is>
      </c>
      <c r="X160" t="inlineStr">
        <is>
          <t>Connected=0.070866141732283463583; Connected &amp; previewing=0.070866141732283463583; Disconnected=0; Empty=0; Off=0; Previewing=0</t>
        </is>
      </c>
    </row>
    <row r="161">
      <c r="A161" s="71" t="n">
        <v>157</v>
      </c>
      <c r="B161" s="72" t="inlineStr">
        <is>
          <t>1784313901097</t>
        </is>
      </c>
      <c r="C161" t="inlineStr">
        <is>
          <t>wake</t>
        </is>
      </c>
      <c r="D161" s="71" t="n">
        <v>97</v>
      </c>
      <c r="E161" t="inlineStr">
        <is>
          <t>FADER4</t>
        </is>
      </c>
      <c r="F161" t="inlineStr">
        <is>
          <t>Track Fader 4</t>
        </is>
      </c>
      <c r="G161" t="inlineStr">
        <is>
          <t>cc</t>
        </is>
      </c>
      <c r="H161" s="72" t="n">
        <v>7</v>
      </c>
      <c r="I161" s="72" t="n">
        <v>4</v>
      </c>
      <c r="J161" s="72" t="inlineStr">
        <is>
          <t>144115188075857843</t>
        </is>
      </c>
      <c r="K161" t="inlineStr">
        <is>
          <t>CC7/C4</t>
        </is>
      </c>
      <c r="L161" t="inlineStr">
        <is>
          <t>/composition/layers/97/clips/1/connect</t>
        </is>
      </c>
      <c r="M161" s="71" t="n">
        <v>1028</v>
      </c>
      <c r="N161" t="inlineStr">
        <is>
          <t>CC wake</t>
        </is>
      </c>
      <c r="O161" s="73" t="n"/>
      <c r="P161" s="73" t="n"/>
      <c r="R161" s="71" t="n">
        <v>128</v>
      </c>
      <c r="S161" s="71" t="n">
        <v>1</v>
      </c>
      <c r="U161" t="inlineStr">
        <is>
          <t>/composition/layers/97/clips/1/connect</t>
        </is>
      </c>
      <c r="X161" t="inlineStr">
        <is>
          <t>Disconnected=1</t>
        </is>
      </c>
    </row>
    <row r="162">
      <c r="A162" s="71" t="n">
        <v>158</v>
      </c>
      <c r="B162" s="72" t="inlineStr">
        <is>
          <t>1784313900097</t>
        </is>
      </c>
      <c r="C162" t="inlineStr">
        <is>
          <t>opacity</t>
        </is>
      </c>
      <c r="D162" s="71" t="n">
        <v>97</v>
      </c>
      <c r="E162" t="inlineStr">
        <is>
          <t>FADER4</t>
        </is>
      </c>
      <c r="F162" t="inlineStr">
        <is>
          <t>Track Fader 4</t>
        </is>
      </c>
      <c r="G162" t="inlineStr">
        <is>
          <t>cc</t>
        </is>
      </c>
      <c r="H162" s="72" t="n">
        <v>7</v>
      </c>
      <c r="I162" s="72" t="n">
        <v>4</v>
      </c>
      <c r="J162" s="72" t="inlineStr">
        <is>
          <t>144115188075857843</t>
        </is>
      </c>
      <c r="K162" t="inlineStr">
        <is>
          <t>CC7/C4</t>
        </is>
      </c>
      <c r="L162" t="inlineStr">
        <is>
          <t>/composition/layers/97/clips/1/video/opacity</t>
        </is>
      </c>
      <c r="M162" s="71" t="n">
        <v>8</v>
      </c>
      <c r="N162" t="inlineStr">
        <is>
          <t>Absolute</t>
        </is>
      </c>
      <c r="O162" s="73" t="n">
        <v>0.65</v>
      </c>
      <c r="P162" s="73" t="n">
        <v>1</v>
      </c>
      <c r="Q162" t="inlineStr">
        <is>
          <t>ascending</t>
        </is>
      </c>
      <c r="R162" s="71" t="n">
        <v>128</v>
      </c>
      <c r="S162" s="71" t="n">
        <v>1</v>
      </c>
      <c r="U162" t="inlineStr">
        <is>
          <t>/composition/layers/97/clips/1/video/opacity</t>
        </is>
      </c>
    </row>
    <row r="163">
      <c r="A163" s="71" t="n">
        <v>159</v>
      </c>
      <c r="B163" s="72" t="inlineStr">
        <is>
          <t>1784313902097</t>
        </is>
      </c>
      <c r="C163" t="inlineStr">
        <is>
          <t>motion_y</t>
        </is>
      </c>
      <c r="D163" s="71" t="n">
        <v>97</v>
      </c>
      <c r="E163" t="inlineStr">
        <is>
          <t>FADER4</t>
        </is>
      </c>
      <c r="F163" t="inlineStr">
        <is>
          <t>Track Fader 4</t>
        </is>
      </c>
      <c r="G163" t="inlineStr">
        <is>
          <t>cc</t>
        </is>
      </c>
      <c r="H163" s="72" t="n">
        <v>7</v>
      </c>
      <c r="I163" s="72" t="n">
        <v>4</v>
      </c>
      <c r="J163" s="72" t="inlineStr">
        <is>
          <t>144115188075857843</t>
        </is>
      </c>
      <c r="K163" t="inlineStr">
        <is>
          <t>CC7/C4</t>
        </is>
      </c>
      <c r="L163" t="inlineStr">
        <is>
          <t>/composition/layers/97/clips/1/video/effects/transform/positiony</t>
        </is>
      </c>
      <c r="M163" s="71" t="n">
        <v>8</v>
      </c>
      <c r="N163" t="inlineStr">
        <is>
          <t>Absolute</t>
        </is>
      </c>
      <c r="O163" s="73" t="n">
        <v>0.506629943848</v>
      </c>
      <c r="P163" s="73" t="n">
        <v>0.504295349121</v>
      </c>
      <c r="Q163" t="inlineStr">
        <is>
          <t>descending</t>
        </is>
      </c>
      <c r="R163" s="71" t="n">
        <v>128</v>
      </c>
      <c r="S163" s="71" t="n">
        <v>1</v>
      </c>
      <c r="U163" t="inlineStr">
        <is>
          <t>/composition/layers/97/clips/1/video/effects/transform/positiony</t>
        </is>
      </c>
    </row>
    <row r="164">
      <c r="A164" s="71" t="n">
        <v>160</v>
      </c>
      <c r="B164" s="72" t="inlineStr">
        <is>
          <t>1784313901102</t>
        </is>
      </c>
      <c r="C164" t="inlineStr">
        <is>
          <t>wake</t>
        </is>
      </c>
      <c r="D164" s="71" t="n">
        <v>102</v>
      </c>
      <c r="E164" t="inlineStr">
        <is>
          <t>TRACK1</t>
        </is>
      </c>
      <c r="F164" t="inlineStr">
        <is>
          <t>Track Knob 1</t>
        </is>
      </c>
      <c r="G164" t="inlineStr">
        <is>
          <t>cc</t>
        </is>
      </c>
      <c r="H164" s="72" t="n">
        <v>48</v>
      </c>
      <c r="I164" s="72" t="n">
        <v>1</v>
      </c>
      <c r="J164" s="72" t="inlineStr">
        <is>
          <t>144115188075868336</t>
        </is>
      </c>
      <c r="K164" t="inlineStr">
        <is>
          <t>CC48/C1</t>
        </is>
      </c>
      <c r="L164" t="inlineStr">
        <is>
          <t>/composition/layers/102/clips/1/connect</t>
        </is>
      </c>
      <c r="M164" s="71" t="n">
        <v>1028</v>
      </c>
      <c r="N164" t="inlineStr">
        <is>
          <t>CC wake</t>
        </is>
      </c>
      <c r="O164" s="73" t="n"/>
      <c r="P164" s="73" t="n"/>
      <c r="R164" s="71" t="n">
        <v>128</v>
      </c>
      <c r="S164" s="71" t="n">
        <v>1</v>
      </c>
      <c r="U164" t="inlineStr">
        <is>
          <t>/composition/layers/102/clips/1/connect</t>
        </is>
      </c>
      <c r="X164" t="inlineStr">
        <is>
          <t>Disconnected=1</t>
        </is>
      </c>
    </row>
    <row r="165">
      <c r="A165" s="71" t="n">
        <v>161</v>
      </c>
      <c r="B165" s="72" t="inlineStr">
        <is>
          <t>1784313900102</t>
        </is>
      </c>
      <c r="C165" t="inlineStr">
        <is>
          <t>opacity</t>
        </is>
      </c>
      <c r="D165" s="71" t="n">
        <v>102</v>
      </c>
      <c r="E165" t="inlineStr">
        <is>
          <t>TRACK1</t>
        </is>
      </c>
      <c r="F165" t="inlineStr">
        <is>
          <t>Track Knob 1</t>
        </is>
      </c>
      <c r="G165" t="inlineStr">
        <is>
          <t>cc</t>
        </is>
      </c>
      <c r="H165" s="72" t="n">
        <v>48</v>
      </c>
      <c r="I165" s="72" t="n">
        <v>1</v>
      </c>
      <c r="J165" s="72" t="inlineStr">
        <is>
          <t>144115188075868336</t>
        </is>
      </c>
      <c r="K165" t="inlineStr">
        <is>
          <t>CC48/C1</t>
        </is>
      </c>
      <c r="L165" t="inlineStr">
        <is>
          <t>/composition/layers/102/clips/1/video/opacity</t>
        </is>
      </c>
      <c r="M165" s="71" t="n">
        <v>8</v>
      </c>
      <c r="N165" t="inlineStr">
        <is>
          <t>Absolute</t>
        </is>
      </c>
      <c r="O165" s="73" t="n">
        <v>0.35</v>
      </c>
      <c r="P165" s="73" t="n">
        <v>1</v>
      </c>
      <c r="Q165" t="inlineStr">
        <is>
          <t>ascending</t>
        </is>
      </c>
      <c r="R165" s="71" t="n">
        <v>128</v>
      </c>
      <c r="S165" s="71" t="n">
        <v>1</v>
      </c>
      <c r="U165" t="inlineStr">
        <is>
          <t>/composition/layers/102/clips/1/video/opacity</t>
        </is>
      </c>
    </row>
    <row r="166">
      <c r="A166" s="71" t="n">
        <v>162</v>
      </c>
      <c r="B166" s="72" t="inlineStr">
        <is>
          <t>1784313902102</t>
        </is>
      </c>
      <c r="C166" t="inlineStr">
        <is>
          <t>motion_rotation</t>
        </is>
      </c>
      <c r="D166" s="71" t="n">
        <v>102</v>
      </c>
      <c r="E166" t="inlineStr">
        <is>
          <t>TRACK1</t>
        </is>
      </c>
      <c r="F166" t="inlineStr">
        <is>
          <t>Track Knob 1</t>
        </is>
      </c>
      <c r="G166" t="inlineStr">
        <is>
          <t>cc</t>
        </is>
      </c>
      <c r="H166" s="72" t="n">
        <v>48</v>
      </c>
      <c r="I166" s="72" t="n">
        <v>1</v>
      </c>
      <c r="J166" s="72" t="inlineStr">
        <is>
          <t>144115188075868336</t>
        </is>
      </c>
      <c r="K166" t="inlineStr">
        <is>
          <t>CC48/C1</t>
        </is>
      </c>
      <c r="L166" t="inlineStr">
        <is>
          <t>/composition/layers/102/clips/1/video/effects/transform/rotationz</t>
        </is>
      </c>
      <c r="M166" s="71" t="n">
        <v>8</v>
      </c>
      <c r="N166" t="inlineStr">
        <is>
          <t>Absolute</t>
        </is>
      </c>
      <c r="O166" s="73" t="n">
        <v>0.125</v>
      </c>
      <c r="P166" s="73" t="n">
        <v>0.875</v>
      </c>
      <c r="Q166" t="inlineStr">
        <is>
          <t>ascending</t>
        </is>
      </c>
      <c r="R166" s="71" t="n">
        <v>128</v>
      </c>
      <c r="S166" s="71" t="n">
        <v>1</v>
      </c>
      <c r="U166" t="inlineStr">
        <is>
          <t>/composition/layers/102/clips/1/video/effects/transform/rotationz</t>
        </is>
      </c>
    </row>
    <row r="167">
      <c r="A167" s="71" t="n">
        <v>163</v>
      </c>
      <c r="B167" s="72" t="inlineStr">
        <is>
          <t>1784313901101</t>
        </is>
      </c>
      <c r="C167" t="inlineStr">
        <is>
          <t>wake</t>
        </is>
      </c>
      <c r="D167" s="71" t="n">
        <v>101</v>
      </c>
      <c r="E167" t="inlineStr">
        <is>
          <t>FADER8</t>
        </is>
      </c>
      <c r="F167" t="inlineStr">
        <is>
          <t>Track Fader 8</t>
        </is>
      </c>
      <c r="G167" t="inlineStr">
        <is>
          <t>cc</t>
        </is>
      </c>
      <c r="H167" s="72" t="n">
        <v>7</v>
      </c>
      <c r="I167" s="72" t="n">
        <v>8</v>
      </c>
      <c r="J167" s="72" t="inlineStr">
        <is>
          <t>144115188075857847</t>
        </is>
      </c>
      <c r="K167" t="inlineStr">
        <is>
          <t>CC7/C8</t>
        </is>
      </c>
      <c r="L167" t="inlineStr">
        <is>
          <t>/composition/layers/101/clips/1/connect</t>
        </is>
      </c>
      <c r="M167" s="71" t="n">
        <v>1028</v>
      </c>
      <c r="N167" t="inlineStr">
        <is>
          <t>CC wake</t>
        </is>
      </c>
      <c r="O167" s="73" t="n"/>
      <c r="P167" s="73" t="n"/>
      <c r="R167" s="71" t="n">
        <v>128</v>
      </c>
      <c r="S167" s="71" t="n">
        <v>1</v>
      </c>
      <c r="U167" t="inlineStr">
        <is>
          <t>/composition/layers/101/clips/1/connect</t>
        </is>
      </c>
      <c r="X167" t="inlineStr">
        <is>
          <t>Disconnected=1</t>
        </is>
      </c>
    </row>
    <row r="168">
      <c r="A168" s="71" t="n">
        <v>164</v>
      </c>
      <c r="B168" s="72" t="inlineStr">
        <is>
          <t>1784313900101</t>
        </is>
      </c>
      <c r="C168" t="inlineStr">
        <is>
          <t>opacity</t>
        </is>
      </c>
      <c r="D168" s="71" t="n">
        <v>101</v>
      </c>
      <c r="E168" t="inlineStr">
        <is>
          <t>FADER8</t>
        </is>
      </c>
      <c r="F168" t="inlineStr">
        <is>
          <t>Track Fader 8</t>
        </is>
      </c>
      <c r="G168" t="inlineStr">
        <is>
          <t>cc</t>
        </is>
      </c>
      <c r="H168" s="72" t="n">
        <v>7</v>
      </c>
      <c r="I168" s="72" t="n">
        <v>8</v>
      </c>
      <c r="J168" s="72" t="inlineStr">
        <is>
          <t>144115188075857847</t>
        </is>
      </c>
      <c r="K168" t="inlineStr">
        <is>
          <t>CC7/C8</t>
        </is>
      </c>
      <c r="L168" t="inlineStr">
        <is>
          <t>/composition/layers/101/clips/1/video/opacity</t>
        </is>
      </c>
      <c r="M168" s="71" t="n">
        <v>8</v>
      </c>
      <c r="N168" t="inlineStr">
        <is>
          <t>Absolute</t>
        </is>
      </c>
      <c r="O168" s="73" t="n">
        <v>0.65</v>
      </c>
      <c r="P168" s="73" t="n">
        <v>1</v>
      </c>
      <c r="Q168" t="inlineStr">
        <is>
          <t>ascending</t>
        </is>
      </c>
      <c r="R168" s="71" t="n">
        <v>128</v>
      </c>
      <c r="S168" s="71" t="n">
        <v>1</v>
      </c>
      <c r="U168" t="inlineStr">
        <is>
          <t>/composition/layers/101/clips/1/video/opacity</t>
        </is>
      </c>
    </row>
    <row r="169">
      <c r="A169" s="71" t="n">
        <v>165</v>
      </c>
      <c r="B169" s="72" t="inlineStr">
        <is>
          <t>1784313902101</t>
        </is>
      </c>
      <c r="C169" t="inlineStr">
        <is>
          <t>motion_y</t>
        </is>
      </c>
      <c r="D169" s="71" t="n">
        <v>101</v>
      </c>
      <c r="E169" t="inlineStr">
        <is>
          <t>FADER8</t>
        </is>
      </c>
      <c r="F169" t="inlineStr">
        <is>
          <t>Track Fader 8</t>
        </is>
      </c>
      <c r="G169" t="inlineStr">
        <is>
          <t>cc</t>
        </is>
      </c>
      <c r="H169" s="72" t="n">
        <v>7</v>
      </c>
      <c r="I169" s="72" t="n">
        <v>8</v>
      </c>
      <c r="J169" s="72" t="inlineStr">
        <is>
          <t>144115188075857847</t>
        </is>
      </c>
      <c r="K169" t="inlineStr">
        <is>
          <t>CC7/C8</t>
        </is>
      </c>
      <c r="L169" t="inlineStr">
        <is>
          <t>/composition/layers/101/clips/1/video/effects/transform/positiony</t>
        </is>
      </c>
      <c r="M169" s="71" t="n">
        <v>8</v>
      </c>
      <c r="N169" t="inlineStr">
        <is>
          <t>Absolute</t>
        </is>
      </c>
      <c r="O169" s="73" t="n">
        <v>0.506629943848</v>
      </c>
      <c r="P169" s="73" t="n">
        <v>0.504295349121</v>
      </c>
      <c r="Q169" t="inlineStr">
        <is>
          <t>descending</t>
        </is>
      </c>
      <c r="R169" s="71" t="n">
        <v>128</v>
      </c>
      <c r="S169" s="71" t="n">
        <v>1</v>
      </c>
      <c r="U169" t="inlineStr">
        <is>
          <t>/composition/layers/101/clips/1/video/effects/transform/positiony</t>
        </is>
      </c>
    </row>
    <row r="170">
      <c r="A170" s="71" t="n">
        <v>166</v>
      </c>
      <c r="B170" s="72" t="inlineStr">
        <is>
          <t>1784313901098</t>
        </is>
      </c>
      <c r="C170" t="inlineStr">
        <is>
          <t>wake</t>
        </is>
      </c>
      <c r="D170" s="71" t="n">
        <v>98</v>
      </c>
      <c r="E170" t="inlineStr">
        <is>
          <t>FADER5</t>
        </is>
      </c>
      <c r="F170" t="inlineStr">
        <is>
          <t>Track Fader 5</t>
        </is>
      </c>
      <c r="G170" t="inlineStr">
        <is>
          <t>cc</t>
        </is>
      </c>
      <c r="H170" s="72" t="n">
        <v>7</v>
      </c>
      <c r="I170" s="72" t="n">
        <v>5</v>
      </c>
      <c r="J170" s="72" t="inlineStr">
        <is>
          <t>144115188075857844</t>
        </is>
      </c>
      <c r="K170" t="inlineStr">
        <is>
          <t>CC7/C5</t>
        </is>
      </c>
      <c r="L170" t="inlineStr">
        <is>
          <t>/composition/layers/98/clips/1/connect</t>
        </is>
      </c>
      <c r="M170" s="71" t="n">
        <v>1028</v>
      </c>
      <c r="N170" t="inlineStr">
        <is>
          <t>CC wake</t>
        </is>
      </c>
      <c r="O170" s="73" t="n"/>
      <c r="P170" s="73" t="n"/>
      <c r="R170" s="71" t="n">
        <v>128</v>
      </c>
      <c r="S170" s="71" t="n">
        <v>1</v>
      </c>
      <c r="U170" t="inlineStr">
        <is>
          <t>/composition/layers/98/clips/1/connect</t>
        </is>
      </c>
      <c r="X170" t="inlineStr">
        <is>
          <t>Disconnected=1</t>
        </is>
      </c>
    </row>
    <row r="171">
      <c r="A171" s="71" t="n">
        <v>167</v>
      </c>
      <c r="B171" s="72" t="inlineStr">
        <is>
          <t>1784313900098</t>
        </is>
      </c>
      <c r="C171" t="inlineStr">
        <is>
          <t>opacity</t>
        </is>
      </c>
      <c r="D171" s="71" t="n">
        <v>98</v>
      </c>
      <c r="E171" t="inlineStr">
        <is>
          <t>FADER5</t>
        </is>
      </c>
      <c r="F171" t="inlineStr">
        <is>
          <t>Track Fader 5</t>
        </is>
      </c>
      <c r="G171" t="inlineStr">
        <is>
          <t>cc</t>
        </is>
      </c>
      <c r="H171" s="72" t="n">
        <v>7</v>
      </c>
      <c r="I171" s="72" t="n">
        <v>5</v>
      </c>
      <c r="J171" s="72" t="inlineStr">
        <is>
          <t>144115188075857844</t>
        </is>
      </c>
      <c r="K171" t="inlineStr">
        <is>
          <t>CC7/C5</t>
        </is>
      </c>
      <c r="L171" t="inlineStr">
        <is>
          <t>/composition/layers/98/clips/1/video/opacity</t>
        </is>
      </c>
      <c r="M171" s="71" t="n">
        <v>8</v>
      </c>
      <c r="N171" t="inlineStr">
        <is>
          <t>Absolute</t>
        </is>
      </c>
      <c r="O171" s="73" t="n">
        <v>0.65</v>
      </c>
      <c r="P171" s="73" t="n">
        <v>1</v>
      </c>
      <c r="Q171" t="inlineStr">
        <is>
          <t>ascending</t>
        </is>
      </c>
      <c r="R171" s="71" t="n">
        <v>128</v>
      </c>
      <c r="S171" s="71" t="n">
        <v>1</v>
      </c>
      <c r="U171" t="inlineStr">
        <is>
          <t>/composition/layers/98/clips/1/video/opacity</t>
        </is>
      </c>
    </row>
    <row r="172">
      <c r="A172" s="71" t="n">
        <v>168</v>
      </c>
      <c r="B172" s="72" t="inlineStr">
        <is>
          <t>1784313902098</t>
        </is>
      </c>
      <c r="C172" t="inlineStr">
        <is>
          <t>motion_y</t>
        </is>
      </c>
      <c r="D172" s="71" t="n">
        <v>98</v>
      </c>
      <c r="E172" t="inlineStr">
        <is>
          <t>FADER5</t>
        </is>
      </c>
      <c r="F172" t="inlineStr">
        <is>
          <t>Track Fader 5</t>
        </is>
      </c>
      <c r="G172" t="inlineStr">
        <is>
          <t>cc</t>
        </is>
      </c>
      <c r="H172" s="72" t="n">
        <v>7</v>
      </c>
      <c r="I172" s="72" t="n">
        <v>5</v>
      </c>
      <c r="J172" s="72" t="inlineStr">
        <is>
          <t>144115188075857844</t>
        </is>
      </c>
      <c r="K172" t="inlineStr">
        <is>
          <t>CC7/C5</t>
        </is>
      </c>
      <c r="L172" t="inlineStr">
        <is>
          <t>/composition/layers/98/clips/1/video/effects/transform/positiony</t>
        </is>
      </c>
      <c r="M172" s="71" t="n">
        <v>8</v>
      </c>
      <c r="N172" t="inlineStr">
        <is>
          <t>Absolute</t>
        </is>
      </c>
      <c r="O172" s="73" t="n">
        <v>0.506629943848</v>
      </c>
      <c r="P172" s="73" t="n">
        <v>0.504295349121</v>
      </c>
      <c r="Q172" t="inlineStr">
        <is>
          <t>descending</t>
        </is>
      </c>
      <c r="R172" s="71" t="n">
        <v>128</v>
      </c>
      <c r="S172" s="71" t="n">
        <v>1</v>
      </c>
      <c r="U172" t="inlineStr">
        <is>
          <t>/composition/layers/98/clips/1/video/effects/transform/positiony</t>
        </is>
      </c>
    </row>
    <row r="173">
      <c r="A173" s="71" t="n">
        <v>169</v>
      </c>
      <c r="B173" s="72" t="inlineStr">
        <is>
          <t>1784313901107</t>
        </is>
      </c>
      <c r="C173" t="inlineStr">
        <is>
          <t>wake</t>
        </is>
      </c>
      <c r="D173" s="71" t="n">
        <v>107</v>
      </c>
      <c r="E173" t="inlineStr">
        <is>
          <t>TRACK6</t>
        </is>
      </c>
      <c r="F173" t="inlineStr">
        <is>
          <t>Track Knob 6</t>
        </is>
      </c>
      <c r="G173" t="inlineStr">
        <is>
          <t>cc</t>
        </is>
      </c>
      <c r="H173" s="72" t="n">
        <v>53</v>
      </c>
      <c r="I173" s="72" t="n">
        <v>1</v>
      </c>
      <c r="J173" s="72" t="inlineStr">
        <is>
          <t>144115188075869616</t>
        </is>
      </c>
      <c r="K173" t="inlineStr">
        <is>
          <t>CC53/C1</t>
        </is>
      </c>
      <c r="L173" t="inlineStr">
        <is>
          <t>/composition/layers/107/clips/1/connect</t>
        </is>
      </c>
      <c r="M173" s="71" t="n">
        <v>1028</v>
      </c>
      <c r="N173" t="inlineStr">
        <is>
          <t>CC wake</t>
        </is>
      </c>
      <c r="O173" s="73" t="n"/>
      <c r="P173" s="73" t="n"/>
      <c r="R173" s="71" t="n">
        <v>128</v>
      </c>
      <c r="S173" s="71" t="n">
        <v>1</v>
      </c>
      <c r="U173" t="inlineStr">
        <is>
          <t>/composition/layers/107/clips/1/connect</t>
        </is>
      </c>
      <c r="X173" t="inlineStr">
        <is>
          <t>Disconnected=1</t>
        </is>
      </c>
    </row>
    <row r="174">
      <c r="A174" s="71" t="n">
        <v>170</v>
      </c>
      <c r="B174" s="72" t="inlineStr">
        <is>
          <t>1784313900107</t>
        </is>
      </c>
      <c r="C174" t="inlineStr">
        <is>
          <t>opacity</t>
        </is>
      </c>
      <c r="D174" s="71" t="n">
        <v>107</v>
      </c>
      <c r="E174" t="inlineStr">
        <is>
          <t>TRACK6</t>
        </is>
      </c>
      <c r="F174" t="inlineStr">
        <is>
          <t>Track Knob 6</t>
        </is>
      </c>
      <c r="G174" t="inlineStr">
        <is>
          <t>cc</t>
        </is>
      </c>
      <c r="H174" s="72" t="n">
        <v>53</v>
      </c>
      <c r="I174" s="72" t="n">
        <v>1</v>
      </c>
      <c r="J174" s="72" t="inlineStr">
        <is>
          <t>144115188075869616</t>
        </is>
      </c>
      <c r="K174" t="inlineStr">
        <is>
          <t>CC53/C1</t>
        </is>
      </c>
      <c r="L174" t="inlineStr">
        <is>
          <t>/composition/layers/107/clips/1/video/opacity</t>
        </is>
      </c>
      <c r="M174" s="71" t="n">
        <v>8</v>
      </c>
      <c r="N174" t="inlineStr">
        <is>
          <t>Absolute</t>
        </is>
      </c>
      <c r="O174" s="73" t="n">
        <v>0.35</v>
      </c>
      <c r="P174" s="73" t="n">
        <v>1</v>
      </c>
      <c r="Q174" t="inlineStr">
        <is>
          <t>ascending</t>
        </is>
      </c>
      <c r="R174" s="71" t="n">
        <v>128</v>
      </c>
      <c r="S174" s="71" t="n">
        <v>1</v>
      </c>
      <c r="U174" t="inlineStr">
        <is>
          <t>/composition/layers/107/clips/1/video/opacity</t>
        </is>
      </c>
    </row>
    <row r="175">
      <c r="A175" s="71" t="n">
        <v>171</v>
      </c>
      <c r="B175" s="72" t="inlineStr">
        <is>
          <t>1784313902107</t>
        </is>
      </c>
      <c r="C175" t="inlineStr">
        <is>
          <t>motion_rotation</t>
        </is>
      </c>
      <c r="D175" s="71" t="n">
        <v>107</v>
      </c>
      <c r="E175" t="inlineStr">
        <is>
          <t>TRACK6</t>
        </is>
      </c>
      <c r="F175" t="inlineStr">
        <is>
          <t>Track Knob 6</t>
        </is>
      </c>
      <c r="G175" t="inlineStr">
        <is>
          <t>cc</t>
        </is>
      </c>
      <c r="H175" s="72" t="n">
        <v>53</v>
      </c>
      <c r="I175" s="72" t="n">
        <v>1</v>
      </c>
      <c r="J175" s="72" t="inlineStr">
        <is>
          <t>144115188075869616</t>
        </is>
      </c>
      <c r="K175" t="inlineStr">
        <is>
          <t>CC53/C1</t>
        </is>
      </c>
      <c r="L175" t="inlineStr">
        <is>
          <t>/composition/layers/107/clips/1/video/effects/transform/rotationz</t>
        </is>
      </c>
      <c r="M175" s="71" t="n">
        <v>8</v>
      </c>
      <c r="N175" t="inlineStr">
        <is>
          <t>Absolute</t>
        </is>
      </c>
      <c r="O175" s="73" t="n">
        <v>0.125</v>
      </c>
      <c r="P175" s="73" t="n">
        <v>0.875</v>
      </c>
      <c r="Q175" t="inlineStr">
        <is>
          <t>ascending</t>
        </is>
      </c>
      <c r="R175" s="71" t="n">
        <v>128</v>
      </c>
      <c r="S175" s="71" t="n">
        <v>1</v>
      </c>
      <c r="U175" t="inlineStr">
        <is>
          <t>/composition/layers/107/clips/1/video/effects/transform/rotationz</t>
        </is>
      </c>
    </row>
    <row r="176">
      <c r="A176" s="71" t="n">
        <v>172</v>
      </c>
      <c r="B176" s="72" t="inlineStr">
        <is>
          <t>1784313900130</t>
        </is>
      </c>
      <c r="C176" t="inlineStr">
        <is>
          <t>button_connect</t>
        </is>
      </c>
      <c r="D176" s="71" t="n">
        <v>130</v>
      </c>
      <c r="E176" t="inlineStr">
        <is>
          <t>SHIFT</t>
        </is>
      </c>
      <c r="F176" t="inlineStr">
        <is>
          <t>Shift</t>
        </is>
      </c>
      <c r="G176" t="inlineStr">
        <is>
          <t>note</t>
        </is>
      </c>
      <c r="H176" s="72" t="n">
        <v>98</v>
      </c>
      <c r="I176" s="72" t="n">
        <v>1</v>
      </c>
      <c r="J176" s="72" t="inlineStr">
        <is>
          <t>72057594037953168</t>
        </is>
      </c>
      <c r="K176" t="inlineStr">
        <is>
          <t>N98/C1</t>
        </is>
      </c>
      <c r="L176" t="inlineStr">
        <is>
          <t>/composition/layers/130/clips/1/connect</t>
        </is>
      </c>
      <c r="M176" s="71" t="n">
        <v>1028</v>
      </c>
      <c r="N176" t="inlineStr">
        <is>
          <t>Button / value</t>
        </is>
      </c>
      <c r="O176" s="73" t="n"/>
      <c r="P176" s="73" t="n"/>
      <c r="R176" s="71" t="n">
        <v>128</v>
      </c>
      <c r="S176" s="71" t="n">
        <v>0</v>
      </c>
      <c r="T176" t="inlineStr">
        <is>
          <t>APC40 mkII</t>
        </is>
      </c>
      <c r="U176" t="inlineStr">
        <is>
          <t>/composition/layers/130/clips/1/connect</t>
        </is>
      </c>
      <c r="V176" t="inlineStr">
        <is>
          <t>/composition/layers/130/clips/1/connected</t>
        </is>
      </c>
      <c r="W176" t="inlineStr">
        <is>
          <t>/composition/layers/130/clips/1/connected</t>
        </is>
      </c>
      <c r="X176" t="inlineStr">
        <is>
          <t>Connected=0.38582677165354328785; Connected &amp; previewing=0.38582677165354328785; Disconnected=0; Empty=0; Off=0; Previewing=0</t>
        </is>
      </c>
    </row>
    <row r="177">
      <c r="A177" s="71" t="n">
        <v>173</v>
      </c>
      <c r="B177" s="72" t="inlineStr">
        <is>
          <t>1784313900121</t>
        </is>
      </c>
      <c r="C177" t="inlineStr">
        <is>
          <t>button_connect</t>
        </is>
      </c>
      <c r="D177" s="71" t="n">
        <v>121</v>
      </c>
      <c r="E177" t="inlineStr">
        <is>
          <t>TAP</t>
        </is>
      </c>
      <c r="F177" t="inlineStr">
        <is>
          <t>Tap Tempo</t>
        </is>
      </c>
      <c r="G177" t="inlineStr">
        <is>
          <t>note</t>
        </is>
      </c>
      <c r="H177" s="72" t="n">
        <v>99</v>
      </c>
      <c r="I177" s="72" t="n">
        <v>1</v>
      </c>
      <c r="J177" s="72" t="inlineStr">
        <is>
          <t>72057594037953424</t>
        </is>
      </c>
      <c r="K177" t="inlineStr">
        <is>
          <t>N99/C1</t>
        </is>
      </c>
      <c r="L177" t="inlineStr">
        <is>
          <t>/composition/layers/121/clips/1/connect</t>
        </is>
      </c>
      <c r="M177" s="71" t="n">
        <v>1028</v>
      </c>
      <c r="N177" t="inlineStr">
        <is>
          <t>Button / value</t>
        </is>
      </c>
      <c r="O177" s="73" t="n"/>
      <c r="P177" s="73" t="n"/>
      <c r="R177" s="71" t="n">
        <v>128</v>
      </c>
      <c r="S177" s="71" t="n">
        <v>0</v>
      </c>
      <c r="T177" t="inlineStr">
        <is>
          <t>APC40 mkII</t>
        </is>
      </c>
      <c r="U177" t="inlineStr">
        <is>
          <t>/composition/layers/121/clips/1/connect</t>
        </is>
      </c>
      <c r="V177" t="inlineStr">
        <is>
          <t>/composition/layers/121/clips/1/connected</t>
        </is>
      </c>
      <c r="W177" t="inlineStr">
        <is>
          <t>/composition/layers/121/clips/1/connected</t>
        </is>
      </c>
      <c r="X177" t="inlineStr">
        <is>
          <t>Connected=0.070866141732283463583; Connected &amp; previewing=0.070866141732283463583; Disconnected=0; Empty=0; Off=0; Previewing=0</t>
        </is>
      </c>
    </row>
    <row r="178">
      <c r="A178" s="71" t="n">
        <v>174</v>
      </c>
      <c r="B178" s="72" t="inlineStr">
        <is>
          <t>1784313901111</t>
        </is>
      </c>
      <c r="C178" t="inlineStr">
        <is>
          <t>wake</t>
        </is>
      </c>
      <c r="D178" s="71" t="n">
        <v>111</v>
      </c>
      <c r="E178" t="inlineStr">
        <is>
          <t>DEV2</t>
        </is>
      </c>
      <c r="F178" t="inlineStr">
        <is>
          <t>Device Knob 2</t>
        </is>
      </c>
      <c r="G178" t="inlineStr">
        <is>
          <t>cc</t>
        </is>
      </c>
      <c r="H178" s="72" t="n">
        <v>17</v>
      </c>
      <c r="I178" s="72" t="n">
        <v>1</v>
      </c>
      <c r="J178" s="72" t="inlineStr">
        <is>
          <t>144115188075860400</t>
        </is>
      </c>
      <c r="K178" t="inlineStr">
        <is>
          <t>CC17/C1</t>
        </is>
      </c>
      <c r="L178" t="inlineStr">
        <is>
          <t>/composition/layers/111/clips/1/connect</t>
        </is>
      </c>
      <c r="M178" s="71" t="n">
        <v>1028</v>
      </c>
      <c r="N178" t="inlineStr">
        <is>
          <t>CC wake</t>
        </is>
      </c>
      <c r="O178" s="73" t="n"/>
      <c r="P178" s="73" t="n"/>
      <c r="R178" s="71" t="n">
        <v>128</v>
      </c>
      <c r="S178" s="71" t="n">
        <v>1</v>
      </c>
      <c r="U178" t="inlineStr">
        <is>
          <t>/composition/layers/111/clips/1/connect</t>
        </is>
      </c>
      <c r="X178" t="inlineStr">
        <is>
          <t>Disconnected=1</t>
        </is>
      </c>
    </row>
    <row r="179">
      <c r="A179" s="71" t="n">
        <v>175</v>
      </c>
      <c r="B179" s="72" t="inlineStr">
        <is>
          <t>1784313900111</t>
        </is>
      </c>
      <c r="C179" t="inlineStr">
        <is>
          <t>opacity</t>
        </is>
      </c>
      <c r="D179" s="71" t="n">
        <v>111</v>
      </c>
      <c r="E179" t="inlineStr">
        <is>
          <t>DEV2</t>
        </is>
      </c>
      <c r="F179" t="inlineStr">
        <is>
          <t>Device Knob 2</t>
        </is>
      </c>
      <c r="G179" t="inlineStr">
        <is>
          <t>cc</t>
        </is>
      </c>
      <c r="H179" s="72" t="n">
        <v>17</v>
      </c>
      <c r="I179" s="72" t="n">
        <v>1</v>
      </c>
      <c r="J179" s="72" t="inlineStr">
        <is>
          <t>144115188075860400</t>
        </is>
      </c>
      <c r="K179" t="inlineStr">
        <is>
          <t>CC17/C1</t>
        </is>
      </c>
      <c r="L179" t="inlineStr">
        <is>
          <t>/composition/layers/111/clips/1/video/opacity</t>
        </is>
      </c>
      <c r="M179" s="71" t="n">
        <v>8</v>
      </c>
      <c r="N179" t="inlineStr">
        <is>
          <t>Absolute</t>
        </is>
      </c>
      <c r="O179" s="73" t="n">
        <v>0.35</v>
      </c>
      <c r="P179" s="73" t="n">
        <v>1</v>
      </c>
      <c r="Q179" t="inlineStr">
        <is>
          <t>ascending</t>
        </is>
      </c>
      <c r="R179" s="71" t="n">
        <v>128</v>
      </c>
      <c r="S179" s="71" t="n">
        <v>1</v>
      </c>
      <c r="U179" t="inlineStr">
        <is>
          <t>/composition/layers/111/clips/1/video/opacity</t>
        </is>
      </c>
    </row>
    <row r="180">
      <c r="A180" s="71" t="n">
        <v>176</v>
      </c>
      <c r="B180" s="72" t="inlineStr">
        <is>
          <t>1784313902111</t>
        </is>
      </c>
      <c r="C180" t="inlineStr">
        <is>
          <t>motion_rotation</t>
        </is>
      </c>
      <c r="D180" s="71" t="n">
        <v>111</v>
      </c>
      <c r="E180" t="inlineStr">
        <is>
          <t>DEV2</t>
        </is>
      </c>
      <c r="F180" t="inlineStr">
        <is>
          <t>Device Knob 2</t>
        </is>
      </c>
      <c r="G180" t="inlineStr">
        <is>
          <t>cc</t>
        </is>
      </c>
      <c r="H180" s="72" t="n">
        <v>17</v>
      </c>
      <c r="I180" s="72" t="n">
        <v>1</v>
      </c>
      <c r="J180" s="72" t="inlineStr">
        <is>
          <t>144115188075860400</t>
        </is>
      </c>
      <c r="K180" t="inlineStr">
        <is>
          <t>CC17/C1</t>
        </is>
      </c>
      <c r="L180" t="inlineStr">
        <is>
          <t>/composition/layers/111/clips/1/video/effects/transform/rotationz</t>
        </is>
      </c>
      <c r="M180" s="71" t="n">
        <v>8</v>
      </c>
      <c r="N180" t="inlineStr">
        <is>
          <t>Absolute</t>
        </is>
      </c>
      <c r="O180" s="73" t="n">
        <v>0.125</v>
      </c>
      <c r="P180" s="73" t="n">
        <v>0.875</v>
      </c>
      <c r="Q180" t="inlineStr">
        <is>
          <t>ascending</t>
        </is>
      </c>
      <c r="R180" s="71" t="n">
        <v>128</v>
      </c>
      <c r="S180" s="71" t="n">
        <v>1</v>
      </c>
      <c r="U180" t="inlineStr">
        <is>
          <t>/composition/layers/111/clips/1/video/effects/transform/rotationz</t>
        </is>
      </c>
    </row>
    <row r="181">
      <c r="A181" s="71" t="n">
        <v>177</v>
      </c>
      <c r="B181" s="72" t="inlineStr">
        <is>
          <t>1784313900128</t>
        </is>
      </c>
      <c r="C181" t="inlineStr">
        <is>
          <t>button_connect</t>
        </is>
      </c>
      <c r="D181" s="71" t="n">
        <v>128</v>
      </c>
      <c r="E181" t="inlineStr">
        <is>
          <t>R</t>
        </is>
      </c>
      <c r="F181" t="inlineStr">
        <is>
          <t>Bank Right</t>
        </is>
      </c>
      <c r="G181" t="inlineStr">
        <is>
          <t>note</t>
        </is>
      </c>
      <c r="H181" s="72" t="n">
        <v>96</v>
      </c>
      <c r="I181" s="72" t="n">
        <v>1</v>
      </c>
      <c r="J181" s="72" t="inlineStr">
        <is>
          <t>72057594037952656</t>
        </is>
      </c>
      <c r="K181" t="inlineStr">
        <is>
          <t>N96/C1</t>
        </is>
      </c>
      <c r="L181" t="inlineStr">
        <is>
          <t>/composition/layers/128/clips/1/connect</t>
        </is>
      </c>
      <c r="M181" s="71" t="n">
        <v>1028</v>
      </c>
      <c r="N181" t="inlineStr">
        <is>
          <t>Button / value</t>
        </is>
      </c>
      <c r="O181" s="73" t="n"/>
      <c r="P181" s="73" t="n"/>
      <c r="R181" s="71" t="n">
        <v>128</v>
      </c>
      <c r="S181" s="71" t="n">
        <v>0</v>
      </c>
      <c r="T181" t="inlineStr">
        <is>
          <t>APC40 mkII</t>
        </is>
      </c>
      <c r="U181" t="inlineStr">
        <is>
          <t>/composition/layers/128/clips/1/connect</t>
        </is>
      </c>
      <c r="V181" t="inlineStr">
        <is>
          <t>/composition/layers/128/clips/1/connected</t>
        </is>
      </c>
      <c r="W181" t="inlineStr">
        <is>
          <t>/composition/layers/128/clips/1/connected</t>
        </is>
      </c>
      <c r="X181" t="inlineStr">
        <is>
          <t>Connected=0.38582677165354328785; Connected &amp; previewing=0.38582677165354328785; Disconnected=0; Empty=0; Off=0; Previewing=0</t>
        </is>
      </c>
    </row>
    <row r="182">
      <c r="A182" s="71" t="n">
        <v>178</v>
      </c>
      <c r="B182" s="72" t="inlineStr">
        <is>
          <t>1784313901110</t>
        </is>
      </c>
      <c r="C182" t="inlineStr">
        <is>
          <t>wake</t>
        </is>
      </c>
      <c r="D182" s="71" t="n">
        <v>110</v>
      </c>
      <c r="E182" t="inlineStr">
        <is>
          <t>DEV1</t>
        </is>
      </c>
      <c r="F182" t="inlineStr">
        <is>
          <t>Device Knob 1</t>
        </is>
      </c>
      <c r="G182" t="inlineStr">
        <is>
          <t>cc</t>
        </is>
      </c>
      <c r="H182" s="72" t="n">
        <v>16</v>
      </c>
      <c r="I182" s="72" t="n">
        <v>1</v>
      </c>
      <c r="J182" s="72" t="inlineStr">
        <is>
          <t>144115188075860144</t>
        </is>
      </c>
      <c r="K182" t="inlineStr">
        <is>
          <t>CC16/C1</t>
        </is>
      </c>
      <c r="L182" t="inlineStr">
        <is>
          <t>/composition/layers/110/clips/1/connect</t>
        </is>
      </c>
      <c r="M182" s="71" t="n">
        <v>1028</v>
      </c>
      <c r="N182" t="inlineStr">
        <is>
          <t>CC wake</t>
        </is>
      </c>
      <c r="O182" s="73" t="n"/>
      <c r="P182" s="73" t="n"/>
      <c r="R182" s="71" t="n">
        <v>128</v>
      </c>
      <c r="S182" s="71" t="n">
        <v>1</v>
      </c>
      <c r="U182" t="inlineStr">
        <is>
          <t>/composition/layers/110/clips/1/connect</t>
        </is>
      </c>
      <c r="X182" t="inlineStr">
        <is>
          <t>Disconnected=1</t>
        </is>
      </c>
    </row>
    <row r="183">
      <c r="A183" s="71" t="n">
        <v>179</v>
      </c>
      <c r="B183" s="72" t="inlineStr">
        <is>
          <t>1784313900110</t>
        </is>
      </c>
      <c r="C183" t="inlineStr">
        <is>
          <t>opacity</t>
        </is>
      </c>
      <c r="D183" s="71" t="n">
        <v>110</v>
      </c>
      <c r="E183" t="inlineStr">
        <is>
          <t>DEV1</t>
        </is>
      </c>
      <c r="F183" t="inlineStr">
        <is>
          <t>Device Knob 1</t>
        </is>
      </c>
      <c r="G183" t="inlineStr">
        <is>
          <t>cc</t>
        </is>
      </c>
      <c r="H183" s="72" t="n">
        <v>16</v>
      </c>
      <c r="I183" s="72" t="n">
        <v>1</v>
      </c>
      <c r="J183" s="72" t="inlineStr">
        <is>
          <t>144115188075860144</t>
        </is>
      </c>
      <c r="K183" t="inlineStr">
        <is>
          <t>CC16/C1</t>
        </is>
      </c>
      <c r="L183" t="inlineStr">
        <is>
          <t>/composition/layers/110/clips/1/video/opacity</t>
        </is>
      </c>
      <c r="M183" s="71" t="n">
        <v>8</v>
      </c>
      <c r="N183" t="inlineStr">
        <is>
          <t>Absolute</t>
        </is>
      </c>
      <c r="O183" s="73" t="n">
        <v>0.35</v>
      </c>
      <c r="P183" s="73" t="n">
        <v>1</v>
      </c>
      <c r="Q183" t="inlineStr">
        <is>
          <t>ascending</t>
        </is>
      </c>
      <c r="R183" s="71" t="n">
        <v>128</v>
      </c>
      <c r="S183" s="71" t="n">
        <v>1</v>
      </c>
      <c r="U183" t="inlineStr">
        <is>
          <t>/composition/layers/110/clips/1/video/opacity</t>
        </is>
      </c>
    </row>
    <row r="184">
      <c r="A184" s="71" t="n">
        <v>180</v>
      </c>
      <c r="B184" s="72" t="inlineStr">
        <is>
          <t>1784313902110</t>
        </is>
      </c>
      <c r="C184" t="inlineStr">
        <is>
          <t>motion_rotation</t>
        </is>
      </c>
      <c r="D184" s="71" t="n">
        <v>110</v>
      </c>
      <c r="E184" t="inlineStr">
        <is>
          <t>DEV1</t>
        </is>
      </c>
      <c r="F184" t="inlineStr">
        <is>
          <t>Device Knob 1</t>
        </is>
      </c>
      <c r="G184" t="inlineStr">
        <is>
          <t>cc</t>
        </is>
      </c>
      <c r="H184" s="72" t="n">
        <v>16</v>
      </c>
      <c r="I184" s="72" t="n">
        <v>1</v>
      </c>
      <c r="J184" s="72" t="inlineStr">
        <is>
          <t>144115188075860144</t>
        </is>
      </c>
      <c r="K184" t="inlineStr">
        <is>
          <t>CC16/C1</t>
        </is>
      </c>
      <c r="L184" t="inlineStr">
        <is>
          <t>/composition/layers/110/clips/1/video/effects/transform/rotationz</t>
        </is>
      </c>
      <c r="M184" s="71" t="n">
        <v>8</v>
      </c>
      <c r="N184" t="inlineStr">
        <is>
          <t>Absolute</t>
        </is>
      </c>
      <c r="O184" s="73" t="n">
        <v>0.125</v>
      </c>
      <c r="P184" s="73" t="n">
        <v>0.875</v>
      </c>
      <c r="Q184" t="inlineStr">
        <is>
          <t>ascending</t>
        </is>
      </c>
      <c r="R184" s="71" t="n">
        <v>128</v>
      </c>
      <c r="S184" s="71" t="n">
        <v>1</v>
      </c>
      <c r="U184" t="inlineStr">
        <is>
          <t>/composition/layers/110/clips/1/video/effects/transform/rotationz</t>
        </is>
      </c>
    </row>
    <row r="185">
      <c r="A185" s="71" t="n">
        <v>181</v>
      </c>
      <c r="B185" s="72" t="inlineStr">
        <is>
          <t>1784313900131</t>
        </is>
      </c>
      <c r="C185" t="inlineStr">
        <is>
          <t>button_connect</t>
        </is>
      </c>
      <c r="D185" s="71" t="n">
        <v>131</v>
      </c>
      <c r="E185" t="inlineStr">
        <is>
          <t>DEVICE&lt;</t>
        </is>
      </c>
      <c r="F185" t="inlineStr">
        <is>
          <t>Device Left</t>
        </is>
      </c>
      <c r="G185" t="inlineStr">
        <is>
          <t>note</t>
        </is>
      </c>
      <c r="H185" s="72" t="n">
        <v>58</v>
      </c>
      <c r="I185" s="72" t="n">
        <v>1</v>
      </c>
      <c r="J185" s="72" t="inlineStr">
        <is>
          <t>72057594037942928</t>
        </is>
      </c>
      <c r="K185" t="inlineStr">
        <is>
          <t>N58/C1</t>
        </is>
      </c>
      <c r="L185" t="inlineStr">
        <is>
          <t>/composition/layers/131/clips/1/connect</t>
        </is>
      </c>
      <c r="M185" s="71" t="n">
        <v>1028</v>
      </c>
      <c r="N185" t="inlineStr">
        <is>
          <t>Button / value</t>
        </is>
      </c>
      <c r="O185" s="73" t="n"/>
      <c r="P185" s="73" t="n"/>
      <c r="R185" s="71" t="n">
        <v>128</v>
      </c>
      <c r="S185" s="71" t="n">
        <v>0</v>
      </c>
      <c r="T185" t="inlineStr">
        <is>
          <t>APC40 mkII</t>
        </is>
      </c>
      <c r="U185" t="inlineStr">
        <is>
          <t>/composition/layers/131/clips/1/connect</t>
        </is>
      </c>
      <c r="V185" t="inlineStr">
        <is>
          <t>/composition/layers/131/clips/1/connected</t>
        </is>
      </c>
      <c r="W185" t="inlineStr">
        <is>
          <t>/composition/layers/131/clips/1/connected</t>
        </is>
      </c>
      <c r="X185" t="inlineStr">
        <is>
          <t>Connected=0.38582677165354328785; Connected &amp; previewing=0.38582677165354328785; Disconnected=0; Empty=0; Off=0; Previewing=0</t>
        </is>
      </c>
    </row>
    <row r="186">
      <c r="A186" s="71" t="n">
        <v>182</v>
      </c>
      <c r="B186" s="72" t="inlineStr">
        <is>
          <t>1784313901105</t>
        </is>
      </c>
      <c r="C186" t="inlineStr">
        <is>
          <t>wake</t>
        </is>
      </c>
      <c r="D186" s="71" t="n">
        <v>105</v>
      </c>
      <c r="E186" t="inlineStr">
        <is>
          <t>TRACK4</t>
        </is>
      </c>
      <c r="F186" t="inlineStr">
        <is>
          <t>Track Knob 4</t>
        </is>
      </c>
      <c r="G186" t="inlineStr">
        <is>
          <t>cc</t>
        </is>
      </c>
      <c r="H186" s="72" t="n">
        <v>51</v>
      </c>
      <c r="I186" s="72" t="n">
        <v>1</v>
      </c>
      <c r="J186" s="72" t="inlineStr">
        <is>
          <t>144115188075869104</t>
        </is>
      </c>
      <c r="K186" t="inlineStr">
        <is>
          <t>CC51/C1</t>
        </is>
      </c>
      <c r="L186" t="inlineStr">
        <is>
          <t>/composition/layers/105/clips/1/connect</t>
        </is>
      </c>
      <c r="M186" s="71" t="n">
        <v>1028</v>
      </c>
      <c r="N186" t="inlineStr">
        <is>
          <t>CC wake</t>
        </is>
      </c>
      <c r="O186" s="73" t="n"/>
      <c r="P186" s="73" t="n"/>
      <c r="R186" s="71" t="n">
        <v>128</v>
      </c>
      <c r="S186" s="71" t="n">
        <v>1</v>
      </c>
      <c r="U186" t="inlineStr">
        <is>
          <t>/composition/layers/105/clips/1/connect</t>
        </is>
      </c>
      <c r="X186" t="inlineStr">
        <is>
          <t>Disconnected=1</t>
        </is>
      </c>
    </row>
    <row r="187">
      <c r="A187" s="71" t="n">
        <v>183</v>
      </c>
      <c r="B187" s="72" t="inlineStr">
        <is>
          <t>1784313900105</t>
        </is>
      </c>
      <c r="C187" t="inlineStr">
        <is>
          <t>opacity</t>
        </is>
      </c>
      <c r="D187" s="71" t="n">
        <v>105</v>
      </c>
      <c r="E187" t="inlineStr">
        <is>
          <t>TRACK4</t>
        </is>
      </c>
      <c r="F187" t="inlineStr">
        <is>
          <t>Track Knob 4</t>
        </is>
      </c>
      <c r="G187" t="inlineStr">
        <is>
          <t>cc</t>
        </is>
      </c>
      <c r="H187" s="72" t="n">
        <v>51</v>
      </c>
      <c r="I187" s="72" t="n">
        <v>1</v>
      </c>
      <c r="J187" s="72" t="inlineStr">
        <is>
          <t>144115188075869104</t>
        </is>
      </c>
      <c r="K187" t="inlineStr">
        <is>
          <t>CC51/C1</t>
        </is>
      </c>
      <c r="L187" t="inlineStr">
        <is>
          <t>/composition/layers/105/clips/1/video/opacity</t>
        </is>
      </c>
      <c r="M187" s="71" t="n">
        <v>8</v>
      </c>
      <c r="N187" t="inlineStr">
        <is>
          <t>Absolute</t>
        </is>
      </c>
      <c r="O187" s="73" t="n">
        <v>0.35</v>
      </c>
      <c r="P187" s="73" t="n">
        <v>1</v>
      </c>
      <c r="Q187" t="inlineStr">
        <is>
          <t>ascending</t>
        </is>
      </c>
      <c r="R187" s="71" t="n">
        <v>128</v>
      </c>
      <c r="S187" s="71" t="n">
        <v>1</v>
      </c>
      <c r="U187" t="inlineStr">
        <is>
          <t>/composition/layers/105/clips/1/video/opacity</t>
        </is>
      </c>
    </row>
    <row r="188">
      <c r="A188" s="71" t="n">
        <v>184</v>
      </c>
      <c r="B188" s="72" t="inlineStr">
        <is>
          <t>1784313902105</t>
        </is>
      </c>
      <c r="C188" t="inlineStr">
        <is>
          <t>motion_rotation</t>
        </is>
      </c>
      <c r="D188" s="71" t="n">
        <v>105</v>
      </c>
      <c r="E188" t="inlineStr">
        <is>
          <t>TRACK4</t>
        </is>
      </c>
      <c r="F188" t="inlineStr">
        <is>
          <t>Track Knob 4</t>
        </is>
      </c>
      <c r="G188" t="inlineStr">
        <is>
          <t>cc</t>
        </is>
      </c>
      <c r="H188" s="72" t="n">
        <v>51</v>
      </c>
      <c r="I188" s="72" t="n">
        <v>1</v>
      </c>
      <c r="J188" s="72" t="inlineStr">
        <is>
          <t>144115188075869104</t>
        </is>
      </c>
      <c r="K188" t="inlineStr">
        <is>
          <t>CC51/C1</t>
        </is>
      </c>
      <c r="L188" t="inlineStr">
        <is>
          <t>/composition/layers/105/clips/1/video/effects/transform/rotationz</t>
        </is>
      </c>
      <c r="M188" s="71" t="n">
        <v>8</v>
      </c>
      <c r="N188" t="inlineStr">
        <is>
          <t>Absolute</t>
        </is>
      </c>
      <c r="O188" s="73" t="n">
        <v>0.125</v>
      </c>
      <c r="P188" s="73" t="n">
        <v>0.875</v>
      </c>
      <c r="Q188" t="inlineStr">
        <is>
          <t>ascending</t>
        </is>
      </c>
      <c r="R188" s="71" t="n">
        <v>128</v>
      </c>
      <c r="S188" s="71" t="n">
        <v>1</v>
      </c>
      <c r="U188" t="inlineStr">
        <is>
          <t>/composition/layers/105/clips/1/video/effects/transform/rotationz</t>
        </is>
      </c>
    </row>
    <row r="189">
      <c r="A189" s="71" t="n">
        <v>185</v>
      </c>
      <c r="B189" s="72" t="inlineStr">
        <is>
          <t>1784313901117</t>
        </is>
      </c>
      <c r="C189" t="inlineStr">
        <is>
          <t>wake</t>
        </is>
      </c>
      <c r="D189" s="71" t="n">
        <v>117</v>
      </c>
      <c r="E189" t="inlineStr">
        <is>
          <t>DEV8</t>
        </is>
      </c>
      <c r="F189" t="inlineStr">
        <is>
          <t>Device Knob 8</t>
        </is>
      </c>
      <c r="G189" t="inlineStr">
        <is>
          <t>cc</t>
        </is>
      </c>
      <c r="H189" s="72" t="n">
        <v>23</v>
      </c>
      <c r="I189" s="72" t="n">
        <v>1</v>
      </c>
      <c r="J189" s="72" t="inlineStr">
        <is>
          <t>144115188075861936</t>
        </is>
      </c>
      <c r="K189" t="inlineStr">
        <is>
          <t>CC23/C1</t>
        </is>
      </c>
      <c r="L189" t="inlineStr">
        <is>
          <t>/composition/layers/117/clips/1/connect</t>
        </is>
      </c>
      <c r="M189" s="71" t="n">
        <v>1028</v>
      </c>
      <c r="N189" t="inlineStr">
        <is>
          <t>CC wake</t>
        </is>
      </c>
      <c r="O189" s="73" t="n"/>
      <c r="P189" s="73" t="n"/>
      <c r="R189" s="71" t="n">
        <v>128</v>
      </c>
      <c r="S189" s="71" t="n">
        <v>1</v>
      </c>
      <c r="U189" t="inlineStr">
        <is>
          <t>/composition/layers/117/clips/1/connect</t>
        </is>
      </c>
      <c r="X189" t="inlineStr">
        <is>
          <t>Disconnected=1</t>
        </is>
      </c>
    </row>
    <row r="190">
      <c r="A190" s="71" t="n">
        <v>186</v>
      </c>
      <c r="B190" s="72" t="inlineStr">
        <is>
          <t>1784313900117</t>
        </is>
      </c>
      <c r="C190" t="inlineStr">
        <is>
          <t>opacity</t>
        </is>
      </c>
      <c r="D190" s="71" t="n">
        <v>117</v>
      </c>
      <c r="E190" t="inlineStr">
        <is>
          <t>DEV8</t>
        </is>
      </c>
      <c r="F190" t="inlineStr">
        <is>
          <t>Device Knob 8</t>
        </is>
      </c>
      <c r="G190" t="inlineStr">
        <is>
          <t>cc</t>
        </is>
      </c>
      <c r="H190" s="72" t="n">
        <v>23</v>
      </c>
      <c r="I190" s="72" t="n">
        <v>1</v>
      </c>
      <c r="J190" s="72" t="inlineStr">
        <is>
          <t>144115188075861936</t>
        </is>
      </c>
      <c r="K190" t="inlineStr">
        <is>
          <t>CC23/C1</t>
        </is>
      </c>
      <c r="L190" t="inlineStr">
        <is>
          <t>/composition/layers/117/clips/1/video/opacity</t>
        </is>
      </c>
      <c r="M190" s="71" t="n">
        <v>8</v>
      </c>
      <c r="N190" t="inlineStr">
        <is>
          <t>Absolute</t>
        </is>
      </c>
      <c r="O190" s="73" t="n">
        <v>0.35</v>
      </c>
      <c r="P190" s="73" t="n">
        <v>1</v>
      </c>
      <c r="Q190" t="inlineStr">
        <is>
          <t>ascending</t>
        </is>
      </c>
      <c r="R190" s="71" t="n">
        <v>128</v>
      </c>
      <c r="S190" s="71" t="n">
        <v>1</v>
      </c>
      <c r="U190" t="inlineStr">
        <is>
          <t>/composition/layers/117/clips/1/video/opacity</t>
        </is>
      </c>
    </row>
    <row r="191">
      <c r="A191" s="71" t="n">
        <v>187</v>
      </c>
      <c r="B191" s="72" t="inlineStr">
        <is>
          <t>1784313902117</t>
        </is>
      </c>
      <c r="C191" t="inlineStr">
        <is>
          <t>motion_rotation</t>
        </is>
      </c>
      <c r="D191" s="71" t="n">
        <v>117</v>
      </c>
      <c r="E191" t="inlineStr">
        <is>
          <t>DEV8</t>
        </is>
      </c>
      <c r="F191" t="inlineStr">
        <is>
          <t>Device Knob 8</t>
        </is>
      </c>
      <c r="G191" t="inlineStr">
        <is>
          <t>cc</t>
        </is>
      </c>
      <c r="H191" s="72" t="n">
        <v>23</v>
      </c>
      <c r="I191" s="72" t="n">
        <v>1</v>
      </c>
      <c r="J191" s="72" t="inlineStr">
        <is>
          <t>144115188075861936</t>
        </is>
      </c>
      <c r="K191" t="inlineStr">
        <is>
          <t>CC23/C1</t>
        </is>
      </c>
      <c r="L191" t="inlineStr">
        <is>
          <t>/composition/layers/117/clips/1/video/effects/transform/rotationz</t>
        </is>
      </c>
      <c r="M191" s="71" t="n">
        <v>8</v>
      </c>
      <c r="N191" t="inlineStr">
        <is>
          <t>Absolute</t>
        </is>
      </c>
      <c r="O191" s="73" t="n">
        <v>0.125</v>
      </c>
      <c r="P191" s="73" t="n">
        <v>0.875</v>
      </c>
      <c r="Q191" t="inlineStr">
        <is>
          <t>ascending</t>
        </is>
      </c>
      <c r="R191" s="71" t="n">
        <v>128</v>
      </c>
      <c r="S191" s="71" t="n">
        <v>1</v>
      </c>
      <c r="U191" t="inlineStr">
        <is>
          <t>/composition/layers/117/clips/1/video/effects/transform/rotationz</t>
        </is>
      </c>
    </row>
    <row r="192">
      <c r="A192" s="71" t="n">
        <v>188</v>
      </c>
      <c r="B192" s="72" t="inlineStr">
        <is>
          <t>1784313900132</t>
        </is>
      </c>
      <c r="C192" t="inlineStr">
        <is>
          <t>button_connect</t>
        </is>
      </c>
      <c r="D192" s="71" t="n">
        <v>132</v>
      </c>
      <c r="E192" t="inlineStr">
        <is>
          <t>DEVICE&gt;</t>
        </is>
      </c>
      <c r="F192" t="inlineStr">
        <is>
          <t>Device Right</t>
        </is>
      </c>
      <c r="G192" t="inlineStr">
        <is>
          <t>note</t>
        </is>
      </c>
      <c r="H192" s="72" t="n">
        <v>59</v>
      </c>
      <c r="I192" s="72" t="n">
        <v>1</v>
      </c>
      <c r="J192" s="72" t="inlineStr">
        <is>
          <t>72057594037943184</t>
        </is>
      </c>
      <c r="K192" t="inlineStr">
        <is>
          <t>N59/C1</t>
        </is>
      </c>
      <c r="L192" t="inlineStr">
        <is>
          <t>/composition/layers/132/clips/1/connect</t>
        </is>
      </c>
      <c r="M192" s="71" t="n">
        <v>1028</v>
      </c>
      <c r="N192" t="inlineStr">
        <is>
          <t>Button / value</t>
        </is>
      </c>
      <c r="O192" s="73" t="n"/>
      <c r="P192" s="73" t="n"/>
      <c r="R192" s="71" t="n">
        <v>128</v>
      </c>
      <c r="S192" s="71" t="n">
        <v>0</v>
      </c>
      <c r="T192" t="inlineStr">
        <is>
          <t>APC40 mkII</t>
        </is>
      </c>
      <c r="U192" t="inlineStr">
        <is>
          <t>/composition/layers/132/clips/1/connect</t>
        </is>
      </c>
      <c r="V192" t="inlineStr">
        <is>
          <t>/composition/layers/132/clips/1/connected</t>
        </is>
      </c>
      <c r="W192" t="inlineStr">
        <is>
          <t>/composition/layers/132/clips/1/connected</t>
        </is>
      </c>
      <c r="X192" t="inlineStr">
        <is>
          <t>Connected=0.38582677165354328785; Connected &amp; previewing=0.38582677165354328785; Disconnected=0; Empty=0; Off=0; Previewing=0</t>
        </is>
      </c>
    </row>
    <row r="193">
      <c r="A193" s="71" t="n">
        <v>189</v>
      </c>
      <c r="B193" s="72" t="inlineStr">
        <is>
          <t>1784313900134</t>
        </is>
      </c>
      <c r="C193" t="inlineStr">
        <is>
          <t>button_connect</t>
        </is>
      </c>
      <c r="D193" s="71" t="n">
        <v>134</v>
      </c>
      <c r="E193" t="inlineStr">
        <is>
          <t>BANK&gt;</t>
        </is>
      </c>
      <c r="F193" t="inlineStr">
        <is>
          <t>Bank Right Button</t>
        </is>
      </c>
      <c r="G193" t="inlineStr">
        <is>
          <t>note</t>
        </is>
      </c>
      <c r="H193" s="72" t="n">
        <v>61</v>
      </c>
      <c r="I193" s="72" t="n">
        <v>1</v>
      </c>
      <c r="J193" s="72" t="inlineStr">
        <is>
          <t>72057594037943696</t>
        </is>
      </c>
      <c r="K193" t="inlineStr">
        <is>
          <t>N61/C1</t>
        </is>
      </c>
      <c r="L193" t="inlineStr">
        <is>
          <t>/composition/layers/134/clips/1/connect</t>
        </is>
      </c>
      <c r="M193" s="71" t="n">
        <v>1028</v>
      </c>
      <c r="N193" t="inlineStr">
        <is>
          <t>Button / value</t>
        </is>
      </c>
      <c r="O193" s="73" t="n"/>
      <c r="P193" s="73" t="n"/>
      <c r="R193" s="71" t="n">
        <v>128</v>
      </c>
      <c r="S193" s="71" t="n">
        <v>0</v>
      </c>
      <c r="T193" t="inlineStr">
        <is>
          <t>APC40 mkII</t>
        </is>
      </c>
      <c r="U193" t="inlineStr">
        <is>
          <t>/composition/layers/134/clips/1/connect</t>
        </is>
      </c>
      <c r="V193" t="inlineStr">
        <is>
          <t>/composition/layers/134/clips/1/connected</t>
        </is>
      </c>
      <c r="W193" t="inlineStr">
        <is>
          <t>/composition/layers/134/clips/1/connected</t>
        </is>
      </c>
      <c r="X193" t="inlineStr">
        <is>
          <t>Connected=0.38582677165354328785; Connected &amp; previewing=0.38582677165354328785; Disconnected=0; Empty=0; Off=0; Previewing=0</t>
        </is>
      </c>
    </row>
    <row r="194">
      <c r="A194" s="71" t="n">
        <v>190</v>
      </c>
      <c r="B194" s="72" t="inlineStr">
        <is>
          <t>1784313900118</t>
        </is>
      </c>
      <c r="C194" t="inlineStr">
        <is>
          <t>button_connect</t>
        </is>
      </c>
      <c r="D194" s="71" t="n">
        <v>118</v>
      </c>
      <c r="E194" t="inlineStr">
        <is>
          <t>PLAY</t>
        </is>
      </c>
      <c r="F194" t="inlineStr">
        <is>
          <t>Play</t>
        </is>
      </c>
      <c r="G194" t="inlineStr">
        <is>
          <t>note</t>
        </is>
      </c>
      <c r="H194" s="72" t="n">
        <v>91</v>
      </c>
      <c r="I194" s="72" t="n">
        <v>1</v>
      </c>
      <c r="J194" s="72" t="inlineStr">
        <is>
          <t>72057594037951376</t>
        </is>
      </c>
      <c r="K194" t="inlineStr">
        <is>
          <t>N91/C1</t>
        </is>
      </c>
      <c r="L194" t="inlineStr">
        <is>
          <t>/composition/layers/118/clips/1/connect</t>
        </is>
      </c>
      <c r="M194" s="71" t="n">
        <v>1028</v>
      </c>
      <c r="N194" t="inlineStr">
        <is>
          <t>Button / value</t>
        </is>
      </c>
      <c r="O194" s="73" t="n"/>
      <c r="P194" s="73" t="n"/>
      <c r="R194" s="71" t="n">
        <v>128</v>
      </c>
      <c r="S194" s="71" t="n">
        <v>0</v>
      </c>
      <c r="T194" t="inlineStr">
        <is>
          <t>APC40 mkII</t>
        </is>
      </c>
      <c r="U194" t="inlineStr">
        <is>
          <t>/composition/layers/118/clips/1/connect</t>
        </is>
      </c>
      <c r="V194" t="inlineStr">
        <is>
          <t>/composition/layers/118/clips/1/connected</t>
        </is>
      </c>
      <c r="W194" t="inlineStr">
        <is>
          <t>/composition/layers/118/clips/1/connected</t>
        </is>
      </c>
      <c r="X194" t="inlineStr">
        <is>
          <t>Connected=0.16535433070866142891; Connected &amp; previewing=0.16535433070866142891; Disconnected=0; Empty=0; Off=0; Previewing=0</t>
        </is>
      </c>
    </row>
    <row r="195">
      <c r="A195" s="71" t="n">
        <v>191</v>
      </c>
      <c r="B195" s="72" t="inlineStr">
        <is>
          <t>1784313900133</t>
        </is>
      </c>
      <c r="C195" t="inlineStr">
        <is>
          <t>button_connect</t>
        </is>
      </c>
      <c r="D195" s="71" t="n">
        <v>133</v>
      </c>
      <c r="E195" t="inlineStr">
        <is>
          <t>BANK&lt;</t>
        </is>
      </c>
      <c r="F195" t="inlineStr">
        <is>
          <t>Bank Left Button</t>
        </is>
      </c>
      <c r="G195" t="inlineStr">
        <is>
          <t>note</t>
        </is>
      </c>
      <c r="H195" s="72" t="n">
        <v>60</v>
      </c>
      <c r="I195" s="72" t="n">
        <v>1</v>
      </c>
      <c r="J195" s="72" t="inlineStr">
        <is>
          <t>72057594037943440</t>
        </is>
      </c>
      <c r="K195" t="inlineStr">
        <is>
          <t>N60/C1</t>
        </is>
      </c>
      <c r="L195" t="inlineStr">
        <is>
          <t>/composition/layers/133/clips/1/connect</t>
        </is>
      </c>
      <c r="M195" s="71" t="n">
        <v>1028</v>
      </c>
      <c r="N195" t="inlineStr">
        <is>
          <t>Button / value</t>
        </is>
      </c>
      <c r="O195" s="73" t="n"/>
      <c r="P195" s="73" t="n"/>
      <c r="R195" s="71" t="n">
        <v>128</v>
      </c>
      <c r="S195" s="71" t="n">
        <v>0</v>
      </c>
      <c r="T195" t="inlineStr">
        <is>
          <t>APC40 mkII</t>
        </is>
      </c>
      <c r="U195" t="inlineStr">
        <is>
          <t>/composition/layers/133/clips/1/connect</t>
        </is>
      </c>
      <c r="V195" t="inlineStr">
        <is>
          <t>/composition/layers/133/clips/1/connected</t>
        </is>
      </c>
      <c r="W195" t="inlineStr">
        <is>
          <t>/composition/layers/133/clips/1/connected</t>
        </is>
      </c>
      <c r="X195" t="inlineStr">
        <is>
          <t>Connected=0.38582677165354328785; Connected &amp; previewing=0.38582677165354328785; Disconnected=0; Empty=0; Off=0; Previewing=0</t>
        </is>
      </c>
    </row>
    <row r="196">
      <c r="A196" s="71" t="n">
        <v>192</v>
      </c>
      <c r="B196" s="72" t="inlineStr">
        <is>
          <t>1784313900129</t>
        </is>
      </c>
      <c r="C196" t="inlineStr">
        <is>
          <t>button_connect</t>
        </is>
      </c>
      <c r="D196" s="71" t="n">
        <v>129</v>
      </c>
      <c r="E196" t="inlineStr">
        <is>
          <t>L</t>
        </is>
      </c>
      <c r="F196" t="inlineStr">
        <is>
          <t>Bank Left</t>
        </is>
      </c>
      <c r="G196" t="inlineStr">
        <is>
          <t>note</t>
        </is>
      </c>
      <c r="H196" s="72" t="n">
        <v>97</v>
      </c>
      <c r="I196" s="72" t="n">
        <v>1</v>
      </c>
      <c r="J196" s="72" t="inlineStr">
        <is>
          <t>72057594037952912</t>
        </is>
      </c>
      <c r="K196" t="inlineStr">
        <is>
          <t>N97/C1</t>
        </is>
      </c>
      <c r="L196" t="inlineStr">
        <is>
          <t>/composition/layers/129/clips/1/connect</t>
        </is>
      </c>
      <c r="M196" s="71" t="n">
        <v>1028</v>
      </c>
      <c r="N196" t="inlineStr">
        <is>
          <t>Button / value</t>
        </is>
      </c>
      <c r="O196" s="73" t="n"/>
      <c r="P196" s="73" t="n"/>
      <c r="R196" s="71" t="n">
        <v>128</v>
      </c>
      <c r="S196" s="71" t="n">
        <v>0</v>
      </c>
      <c r="T196" t="inlineStr">
        <is>
          <t>APC40 mkII</t>
        </is>
      </c>
      <c r="U196" t="inlineStr">
        <is>
          <t>/composition/layers/129/clips/1/connect</t>
        </is>
      </c>
      <c r="V196" t="inlineStr">
        <is>
          <t>/composition/layers/129/clips/1/connected</t>
        </is>
      </c>
      <c r="W196" t="inlineStr">
        <is>
          <t>/composition/layers/129/clips/1/connected</t>
        </is>
      </c>
      <c r="X196" t="inlineStr">
        <is>
          <t>Connected=0.38582677165354328785; Connected &amp; previewing=0.38582677165354328785; Disconnected=0; Empty=0; Off=0; Previewing=0</t>
        </is>
      </c>
    </row>
    <row r="197">
      <c r="A197" s="71" t="n">
        <v>193</v>
      </c>
      <c r="B197" s="72" t="inlineStr">
        <is>
          <t>1784313901103</t>
        </is>
      </c>
      <c r="C197" t="inlineStr">
        <is>
          <t>wake</t>
        </is>
      </c>
      <c r="D197" s="71" t="n">
        <v>103</v>
      </c>
      <c r="E197" t="inlineStr">
        <is>
          <t>TRACK2</t>
        </is>
      </c>
      <c r="F197" t="inlineStr">
        <is>
          <t>Track Knob 2</t>
        </is>
      </c>
      <c r="G197" t="inlineStr">
        <is>
          <t>cc</t>
        </is>
      </c>
      <c r="H197" s="72" t="n">
        <v>49</v>
      </c>
      <c r="I197" s="72" t="n">
        <v>1</v>
      </c>
      <c r="J197" s="72" t="inlineStr">
        <is>
          <t>144115188075868592</t>
        </is>
      </c>
      <c r="K197" t="inlineStr">
        <is>
          <t>CC49/C1</t>
        </is>
      </c>
      <c r="L197" t="inlineStr">
        <is>
          <t>/composition/layers/103/clips/1/connect</t>
        </is>
      </c>
      <c r="M197" s="71" t="n">
        <v>1028</v>
      </c>
      <c r="N197" t="inlineStr">
        <is>
          <t>CC wake</t>
        </is>
      </c>
      <c r="O197" s="73" t="n"/>
      <c r="P197" s="73" t="n"/>
      <c r="R197" s="71" t="n">
        <v>128</v>
      </c>
      <c r="S197" s="71" t="n">
        <v>1</v>
      </c>
      <c r="U197" t="inlineStr">
        <is>
          <t>/composition/layers/103/clips/1/connect</t>
        </is>
      </c>
      <c r="X197" t="inlineStr">
        <is>
          <t>Disconnected=1</t>
        </is>
      </c>
    </row>
    <row r="198">
      <c r="A198" s="71" t="n">
        <v>194</v>
      </c>
      <c r="B198" s="72" t="inlineStr">
        <is>
          <t>1784313900103</t>
        </is>
      </c>
      <c r="C198" t="inlineStr">
        <is>
          <t>opacity</t>
        </is>
      </c>
      <c r="D198" s="71" t="n">
        <v>103</v>
      </c>
      <c r="E198" t="inlineStr">
        <is>
          <t>TRACK2</t>
        </is>
      </c>
      <c r="F198" t="inlineStr">
        <is>
          <t>Track Knob 2</t>
        </is>
      </c>
      <c r="G198" t="inlineStr">
        <is>
          <t>cc</t>
        </is>
      </c>
      <c r="H198" s="72" t="n">
        <v>49</v>
      </c>
      <c r="I198" s="72" t="n">
        <v>1</v>
      </c>
      <c r="J198" s="72" t="inlineStr">
        <is>
          <t>144115188075868592</t>
        </is>
      </c>
      <c r="K198" t="inlineStr">
        <is>
          <t>CC49/C1</t>
        </is>
      </c>
      <c r="L198" t="inlineStr">
        <is>
          <t>/composition/layers/103/clips/1/video/opacity</t>
        </is>
      </c>
      <c r="M198" s="71" t="n">
        <v>8</v>
      </c>
      <c r="N198" t="inlineStr">
        <is>
          <t>Absolute</t>
        </is>
      </c>
      <c r="O198" s="73" t="n">
        <v>0.35</v>
      </c>
      <c r="P198" s="73" t="n">
        <v>1</v>
      </c>
      <c r="Q198" t="inlineStr">
        <is>
          <t>ascending</t>
        </is>
      </c>
      <c r="R198" s="71" t="n">
        <v>128</v>
      </c>
      <c r="S198" s="71" t="n">
        <v>1</v>
      </c>
      <c r="U198" t="inlineStr">
        <is>
          <t>/composition/layers/103/clips/1/video/opacity</t>
        </is>
      </c>
    </row>
    <row r="199">
      <c r="A199" s="71" t="n">
        <v>195</v>
      </c>
      <c r="B199" s="72" t="inlineStr">
        <is>
          <t>1784313902103</t>
        </is>
      </c>
      <c r="C199" t="inlineStr">
        <is>
          <t>motion_rotation</t>
        </is>
      </c>
      <c r="D199" s="71" t="n">
        <v>103</v>
      </c>
      <c r="E199" t="inlineStr">
        <is>
          <t>TRACK2</t>
        </is>
      </c>
      <c r="F199" t="inlineStr">
        <is>
          <t>Track Knob 2</t>
        </is>
      </c>
      <c r="G199" t="inlineStr">
        <is>
          <t>cc</t>
        </is>
      </c>
      <c r="H199" s="72" t="n">
        <v>49</v>
      </c>
      <c r="I199" s="72" t="n">
        <v>1</v>
      </c>
      <c r="J199" s="72" t="inlineStr">
        <is>
          <t>144115188075868592</t>
        </is>
      </c>
      <c r="K199" t="inlineStr">
        <is>
          <t>CC49/C1</t>
        </is>
      </c>
      <c r="L199" t="inlineStr">
        <is>
          <t>/composition/layers/103/clips/1/video/effects/transform/rotationz</t>
        </is>
      </c>
      <c r="M199" s="71" t="n">
        <v>8</v>
      </c>
      <c r="N199" t="inlineStr">
        <is>
          <t>Absolute</t>
        </is>
      </c>
      <c r="O199" s="73" t="n">
        <v>0.125</v>
      </c>
      <c r="P199" s="73" t="n">
        <v>0.875</v>
      </c>
      <c r="Q199" t="inlineStr">
        <is>
          <t>ascending</t>
        </is>
      </c>
      <c r="R199" s="71" t="n">
        <v>128</v>
      </c>
      <c r="S199" s="71" t="n">
        <v>1</v>
      </c>
      <c r="U199" t="inlineStr">
        <is>
          <t>/composition/layers/103/clips/1/video/effects/transform/rotationz</t>
        </is>
      </c>
    </row>
    <row r="200">
      <c r="A200" s="71" t="n">
        <v>196</v>
      </c>
      <c r="B200" s="72" t="inlineStr">
        <is>
          <t>1784313900126</t>
        </is>
      </c>
      <c r="C200" t="inlineStr">
        <is>
          <t>button_connect</t>
        </is>
      </c>
      <c r="D200" s="71" t="n">
        <v>126</v>
      </c>
      <c r="E200" t="inlineStr">
        <is>
          <t>U</t>
        </is>
      </c>
      <c r="F200" t="inlineStr">
        <is>
          <t>Bank Up</t>
        </is>
      </c>
      <c r="G200" t="inlineStr">
        <is>
          <t>note</t>
        </is>
      </c>
      <c r="H200" s="72" t="n">
        <v>94</v>
      </c>
      <c r="I200" s="72" t="n">
        <v>1</v>
      </c>
      <c r="J200" s="72" t="inlineStr">
        <is>
          <t>72057594037952144</t>
        </is>
      </c>
      <c r="K200" t="inlineStr">
        <is>
          <t>N94/C1</t>
        </is>
      </c>
      <c r="L200" t="inlineStr">
        <is>
          <t>/composition/layers/126/clips/1/connect</t>
        </is>
      </c>
      <c r="M200" s="71" t="n">
        <v>1028</v>
      </c>
      <c r="N200" t="inlineStr">
        <is>
          <t>Button / value</t>
        </is>
      </c>
      <c r="O200" s="73" t="n"/>
      <c r="P200" s="73" t="n"/>
      <c r="R200" s="71" t="n">
        <v>128</v>
      </c>
      <c r="S200" s="71" t="n">
        <v>0</v>
      </c>
      <c r="T200" t="inlineStr">
        <is>
          <t>APC40 mkII</t>
        </is>
      </c>
      <c r="U200" t="inlineStr">
        <is>
          <t>/composition/layers/126/clips/1/connect</t>
        </is>
      </c>
      <c r="V200" t="inlineStr">
        <is>
          <t>/composition/layers/126/clips/1/connected</t>
        </is>
      </c>
      <c r="W200" t="inlineStr">
        <is>
          <t>/composition/layers/126/clips/1/connected</t>
        </is>
      </c>
      <c r="X200" t="inlineStr">
        <is>
          <t>Connected=0.38582677165354328785; Connected &amp; previewing=0.38582677165354328785; Disconnected=0; Empty=0; Off=0; Previewing=0</t>
        </is>
      </c>
    </row>
    <row r="201">
      <c r="A201" s="71" t="n">
        <v>197</v>
      </c>
      <c r="B201" s="72" t="inlineStr">
        <is>
          <t>1784313901108</t>
        </is>
      </c>
      <c r="C201" t="inlineStr">
        <is>
          <t>wake</t>
        </is>
      </c>
      <c r="D201" s="71" t="n">
        <v>108</v>
      </c>
      <c r="E201" t="inlineStr">
        <is>
          <t>TRACK7</t>
        </is>
      </c>
      <c r="F201" t="inlineStr">
        <is>
          <t>Track Knob 7</t>
        </is>
      </c>
      <c r="G201" t="inlineStr">
        <is>
          <t>cc</t>
        </is>
      </c>
      <c r="H201" s="72" t="n">
        <v>54</v>
      </c>
      <c r="I201" s="72" t="n">
        <v>1</v>
      </c>
      <c r="J201" s="72" t="inlineStr">
        <is>
          <t>144115188075869872</t>
        </is>
      </c>
      <c r="K201" t="inlineStr">
        <is>
          <t>CC54/C1</t>
        </is>
      </c>
      <c r="L201" t="inlineStr">
        <is>
          <t>/composition/layers/108/clips/1/connect</t>
        </is>
      </c>
      <c r="M201" s="71" t="n">
        <v>1028</v>
      </c>
      <c r="N201" t="inlineStr">
        <is>
          <t>CC wake</t>
        </is>
      </c>
      <c r="O201" s="73" t="n"/>
      <c r="P201" s="73" t="n"/>
      <c r="R201" s="71" t="n">
        <v>128</v>
      </c>
      <c r="S201" s="71" t="n">
        <v>1</v>
      </c>
      <c r="U201" t="inlineStr">
        <is>
          <t>/composition/layers/108/clips/1/connect</t>
        </is>
      </c>
      <c r="X201" t="inlineStr">
        <is>
          <t>Disconnected=1</t>
        </is>
      </c>
    </row>
    <row r="202">
      <c r="A202" s="71" t="n">
        <v>198</v>
      </c>
      <c r="B202" s="72" t="inlineStr">
        <is>
          <t>1784313900108</t>
        </is>
      </c>
      <c r="C202" t="inlineStr">
        <is>
          <t>opacity</t>
        </is>
      </c>
      <c r="D202" s="71" t="n">
        <v>108</v>
      </c>
      <c r="E202" t="inlineStr">
        <is>
          <t>TRACK7</t>
        </is>
      </c>
      <c r="F202" t="inlineStr">
        <is>
          <t>Track Knob 7</t>
        </is>
      </c>
      <c r="G202" t="inlineStr">
        <is>
          <t>cc</t>
        </is>
      </c>
      <c r="H202" s="72" t="n">
        <v>54</v>
      </c>
      <c r="I202" s="72" t="n">
        <v>1</v>
      </c>
      <c r="J202" s="72" t="inlineStr">
        <is>
          <t>144115188075869872</t>
        </is>
      </c>
      <c r="K202" t="inlineStr">
        <is>
          <t>CC54/C1</t>
        </is>
      </c>
      <c r="L202" t="inlineStr">
        <is>
          <t>/composition/layers/108/clips/1/video/opacity</t>
        </is>
      </c>
      <c r="M202" s="71" t="n">
        <v>8</v>
      </c>
      <c r="N202" t="inlineStr">
        <is>
          <t>Absolute</t>
        </is>
      </c>
      <c r="O202" s="73" t="n">
        <v>0.35</v>
      </c>
      <c r="P202" s="73" t="n">
        <v>1</v>
      </c>
      <c r="Q202" t="inlineStr">
        <is>
          <t>ascending</t>
        </is>
      </c>
      <c r="R202" s="71" t="n">
        <v>128</v>
      </c>
      <c r="S202" s="71" t="n">
        <v>1</v>
      </c>
      <c r="U202" t="inlineStr">
        <is>
          <t>/composition/layers/108/clips/1/video/opacity</t>
        </is>
      </c>
    </row>
    <row r="203">
      <c r="A203" s="71" t="n">
        <v>199</v>
      </c>
      <c r="B203" s="72" t="inlineStr">
        <is>
          <t>1784313902108</t>
        </is>
      </c>
      <c r="C203" t="inlineStr">
        <is>
          <t>motion_rotation</t>
        </is>
      </c>
      <c r="D203" s="71" t="n">
        <v>108</v>
      </c>
      <c r="E203" t="inlineStr">
        <is>
          <t>TRACK7</t>
        </is>
      </c>
      <c r="F203" t="inlineStr">
        <is>
          <t>Track Knob 7</t>
        </is>
      </c>
      <c r="G203" t="inlineStr">
        <is>
          <t>cc</t>
        </is>
      </c>
      <c r="H203" s="72" t="n">
        <v>54</v>
      </c>
      <c r="I203" s="72" t="n">
        <v>1</v>
      </c>
      <c r="J203" s="72" t="inlineStr">
        <is>
          <t>144115188075869872</t>
        </is>
      </c>
      <c r="K203" t="inlineStr">
        <is>
          <t>CC54/C1</t>
        </is>
      </c>
      <c r="L203" t="inlineStr">
        <is>
          <t>/composition/layers/108/clips/1/video/effects/transform/rotationz</t>
        </is>
      </c>
      <c r="M203" s="71" t="n">
        <v>8</v>
      </c>
      <c r="N203" t="inlineStr">
        <is>
          <t>Absolute</t>
        </is>
      </c>
      <c r="O203" s="73" t="n">
        <v>0.125</v>
      </c>
      <c r="P203" s="73" t="n">
        <v>0.875</v>
      </c>
      <c r="Q203" t="inlineStr">
        <is>
          <t>ascending</t>
        </is>
      </c>
      <c r="R203" s="71" t="n">
        <v>128</v>
      </c>
      <c r="S203" s="71" t="n">
        <v>1</v>
      </c>
      <c r="U203" t="inlineStr">
        <is>
          <t>/composition/layers/108/clips/1/video/effects/transform/rotationz</t>
        </is>
      </c>
    </row>
    <row r="204">
      <c r="A204" s="71" t="n">
        <v>200</v>
      </c>
      <c r="B204" s="72" t="inlineStr">
        <is>
          <t>1784313901100</t>
        </is>
      </c>
      <c r="C204" t="inlineStr">
        <is>
          <t>wake</t>
        </is>
      </c>
      <c r="D204" s="71" t="n">
        <v>100</v>
      </c>
      <c r="E204" t="inlineStr">
        <is>
          <t>FADER7</t>
        </is>
      </c>
      <c r="F204" t="inlineStr">
        <is>
          <t>Track Fader 7</t>
        </is>
      </c>
      <c r="G204" t="inlineStr">
        <is>
          <t>cc</t>
        </is>
      </c>
      <c r="H204" s="72" t="n">
        <v>7</v>
      </c>
      <c r="I204" s="72" t="n">
        <v>7</v>
      </c>
      <c r="J204" s="72" t="inlineStr">
        <is>
          <t>144115188075857846</t>
        </is>
      </c>
      <c r="K204" t="inlineStr">
        <is>
          <t>CC7/C7</t>
        </is>
      </c>
      <c r="L204" t="inlineStr">
        <is>
          <t>/composition/layers/100/clips/1/connect</t>
        </is>
      </c>
      <c r="M204" s="71" t="n">
        <v>1028</v>
      </c>
      <c r="N204" t="inlineStr">
        <is>
          <t>CC wake</t>
        </is>
      </c>
      <c r="O204" s="73" t="n"/>
      <c r="P204" s="73" t="n"/>
      <c r="R204" s="71" t="n">
        <v>128</v>
      </c>
      <c r="S204" s="71" t="n">
        <v>1</v>
      </c>
      <c r="U204" t="inlineStr">
        <is>
          <t>/composition/layers/100/clips/1/connect</t>
        </is>
      </c>
      <c r="X204" t="inlineStr">
        <is>
          <t>Disconnected=1</t>
        </is>
      </c>
    </row>
    <row r="205">
      <c r="A205" s="71" t="n">
        <v>201</v>
      </c>
      <c r="B205" s="72" t="inlineStr">
        <is>
          <t>1784313900100</t>
        </is>
      </c>
      <c r="C205" t="inlineStr">
        <is>
          <t>opacity</t>
        </is>
      </c>
      <c r="D205" s="71" t="n">
        <v>100</v>
      </c>
      <c r="E205" t="inlineStr">
        <is>
          <t>FADER7</t>
        </is>
      </c>
      <c r="F205" t="inlineStr">
        <is>
          <t>Track Fader 7</t>
        </is>
      </c>
      <c r="G205" t="inlineStr">
        <is>
          <t>cc</t>
        </is>
      </c>
      <c r="H205" s="72" t="n">
        <v>7</v>
      </c>
      <c r="I205" s="72" t="n">
        <v>7</v>
      </c>
      <c r="J205" s="72" t="inlineStr">
        <is>
          <t>144115188075857846</t>
        </is>
      </c>
      <c r="K205" t="inlineStr">
        <is>
          <t>CC7/C7</t>
        </is>
      </c>
      <c r="L205" t="inlineStr">
        <is>
          <t>/composition/layers/100/clips/1/video/opacity</t>
        </is>
      </c>
      <c r="M205" s="71" t="n">
        <v>8</v>
      </c>
      <c r="N205" t="inlineStr">
        <is>
          <t>Absolute</t>
        </is>
      </c>
      <c r="O205" s="73" t="n">
        <v>0.65</v>
      </c>
      <c r="P205" s="73" t="n">
        <v>1</v>
      </c>
      <c r="Q205" t="inlineStr">
        <is>
          <t>ascending</t>
        </is>
      </c>
      <c r="R205" s="71" t="n">
        <v>128</v>
      </c>
      <c r="S205" s="71" t="n">
        <v>1</v>
      </c>
      <c r="U205" t="inlineStr">
        <is>
          <t>/composition/layers/100/clips/1/video/opacity</t>
        </is>
      </c>
    </row>
    <row r="206">
      <c r="A206" s="71" t="n">
        <v>202</v>
      </c>
      <c r="B206" s="72" t="inlineStr">
        <is>
          <t>1784313902100</t>
        </is>
      </c>
      <c r="C206" t="inlineStr">
        <is>
          <t>motion_y</t>
        </is>
      </c>
      <c r="D206" s="71" t="n">
        <v>100</v>
      </c>
      <c r="E206" t="inlineStr">
        <is>
          <t>FADER7</t>
        </is>
      </c>
      <c r="F206" t="inlineStr">
        <is>
          <t>Track Fader 7</t>
        </is>
      </c>
      <c r="G206" t="inlineStr">
        <is>
          <t>cc</t>
        </is>
      </c>
      <c r="H206" s="72" t="n">
        <v>7</v>
      </c>
      <c r="I206" s="72" t="n">
        <v>7</v>
      </c>
      <c r="J206" s="72" t="inlineStr">
        <is>
          <t>144115188075857846</t>
        </is>
      </c>
      <c r="K206" t="inlineStr">
        <is>
          <t>CC7/C7</t>
        </is>
      </c>
      <c r="L206" t="inlineStr">
        <is>
          <t>/composition/layers/100/clips/1/video/effects/transform/positiony</t>
        </is>
      </c>
      <c r="M206" s="71" t="n">
        <v>8</v>
      </c>
      <c r="N206" t="inlineStr">
        <is>
          <t>Absolute</t>
        </is>
      </c>
      <c r="O206" s="73" t="n">
        <v>0.506629943848</v>
      </c>
      <c r="P206" s="73" t="n">
        <v>0.504295349121</v>
      </c>
      <c r="Q206" t="inlineStr">
        <is>
          <t>descending</t>
        </is>
      </c>
      <c r="R206" s="71" t="n">
        <v>128</v>
      </c>
      <c r="S206" s="71" t="n">
        <v>1</v>
      </c>
      <c r="U206" t="inlineStr">
        <is>
          <t>/composition/layers/100/clips/1/video/effects/transform/positiony</t>
        </is>
      </c>
    </row>
    <row r="207">
      <c r="A207" s="71" t="n">
        <v>203</v>
      </c>
      <c r="B207" s="72" t="inlineStr">
        <is>
          <t>1784313900123</t>
        </is>
      </c>
      <c r="C207" t="inlineStr">
        <is>
          <t>button_connect</t>
        </is>
      </c>
      <c r="D207" s="71" t="n">
        <v>123</v>
      </c>
      <c r="E207" t="inlineStr">
        <is>
          <t>NUDGE+</t>
        </is>
      </c>
      <c r="F207" t="inlineStr">
        <is>
          <t>Nudge Plus</t>
        </is>
      </c>
      <c r="G207" t="inlineStr">
        <is>
          <t>note</t>
        </is>
      </c>
      <c r="H207" s="72" t="n">
        <v>101</v>
      </c>
      <c r="I207" s="72" t="n">
        <v>1</v>
      </c>
      <c r="J207" s="72" t="inlineStr">
        <is>
          <t>72057594037953936</t>
        </is>
      </c>
      <c r="K207" t="inlineStr">
        <is>
          <t>N101/C1</t>
        </is>
      </c>
      <c r="L207" t="inlineStr">
        <is>
          <t>/composition/layers/123/clips/1/connect</t>
        </is>
      </c>
      <c r="M207" s="71" t="n">
        <v>1028</v>
      </c>
      <c r="N207" t="inlineStr">
        <is>
          <t>Button / value</t>
        </is>
      </c>
      <c r="O207" s="73" t="n"/>
      <c r="P207" s="73" t="n"/>
      <c r="R207" s="71" t="n">
        <v>128</v>
      </c>
      <c r="S207" s="71" t="n">
        <v>0</v>
      </c>
      <c r="T207" t="inlineStr">
        <is>
          <t>APC40 mkII</t>
        </is>
      </c>
      <c r="U207" t="inlineStr">
        <is>
          <t>/composition/layers/123/clips/1/connect</t>
        </is>
      </c>
      <c r="V207" t="inlineStr">
        <is>
          <t>/composition/layers/123/clips/1/connected</t>
        </is>
      </c>
      <c r="W207" t="inlineStr">
        <is>
          <t>/composition/layers/123/clips/1/connected</t>
        </is>
      </c>
      <c r="X207" t="inlineStr">
        <is>
          <t>Connected=0.1023622047244094474; Connected &amp; previewing=0.1023622047244094474; Disconnected=0; Empty=0; Off=0; Previewing=0</t>
        </is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3" customWidth="1" min="4" max="4"/>
    <col width="16" customWidth="1" min="5" max="5"/>
    <col width="46" customWidth="1" min="6" max="6"/>
    <col width="46" customWidth="1" min="7" max="7"/>
    <col width="14" customWidth="1" min="8" max="8"/>
    <col width="14" customWidth="1" min="9" max="9"/>
    <col width="18" customWidth="1" min="10" max="10"/>
    <col width="54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</cols>
  <sheetData>
    <row r="1" ht="28" customHeight="1">
      <c r="A1" s="64" t="inlineStr">
        <is>
          <t>Continuous Controls — Wake + Opacity + Motion</t>
        </is>
      </c>
    </row>
    <row r="2" ht="20" customHeight="1">
      <c r="A2" s="5" t="inlineStr">
        <is>
          <t>Twenty-seven absolute controls carry three mappings; Tempo is the two-record relative-stepper exception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MIDI Address</t>
        </is>
      </c>
      <c r="D4" s="37" t="inlineStr">
        <is>
          <t>Raw Key</t>
        </is>
      </c>
      <c r="E4" s="37" t="inlineStr">
        <is>
          <t>Witness Color</t>
        </is>
      </c>
      <c r="F4" s="37" t="inlineStr">
        <is>
          <t>Wake Path</t>
        </is>
      </c>
      <c r="G4" s="37" t="inlineStr">
        <is>
          <t>Opacity Path</t>
        </is>
      </c>
      <c r="H4" s="37" t="inlineStr">
        <is>
          <t>Opacity Min</t>
        </is>
      </c>
      <c r="I4" s="37" t="inlineStr">
        <is>
          <t>Opacity Max</t>
        </is>
      </c>
      <c r="J4" s="37" t="inlineStr">
        <is>
          <t>Motion Role</t>
        </is>
      </c>
      <c r="K4" s="37" t="inlineStr">
        <is>
          <t>Motion Path</t>
        </is>
      </c>
      <c r="L4" s="37" t="inlineStr">
        <is>
          <t>Motion Min</t>
        </is>
      </c>
      <c r="M4" s="37" t="inlineStr">
        <is>
          <t>Motion Max</t>
        </is>
      </c>
      <c r="N4" s="37" t="inlineStr">
        <is>
          <t>Direction</t>
        </is>
      </c>
      <c r="O4" s="37" t="inlineStr">
        <is>
          <t>Behaviour</t>
        </is>
      </c>
      <c r="P4" s="37" t="inlineStr">
        <is>
          <t>Mappings</t>
        </is>
      </c>
      <c r="Q4" s="16" t="inlineStr">
        <is>
          <t>QA</t>
        </is>
      </c>
    </row>
    <row r="5">
      <c r="A5" t="n">
        <v>94</v>
      </c>
      <c r="B5" t="inlineStr">
        <is>
          <t>FADER1</t>
        </is>
      </c>
      <c r="C5" t="inlineStr">
        <is>
          <t>CC7/C1</t>
        </is>
      </c>
      <c r="D5" s="72" t="inlineStr">
        <is>
          <t>144115188075857840</t>
        </is>
      </c>
      <c r="E5" s="63" t="inlineStr">
        <is>
          <t>#e6e6e6ff</t>
        </is>
      </c>
      <c r="F5" t="inlineStr">
        <is>
          <t>/composition/layers/94/clips/1/connect</t>
        </is>
      </c>
      <c r="G5" t="inlineStr">
        <is>
          <t>/composition/layers/94/clips/1/video/opacity</t>
        </is>
      </c>
      <c r="H5" s="73" t="n">
        <v>0.65</v>
      </c>
      <c r="I5" s="73" t="n">
        <v>1</v>
      </c>
      <c r="J5" t="inlineStr">
        <is>
          <t>motion_y</t>
        </is>
      </c>
      <c r="K5" t="inlineStr">
        <is>
          <t>/composition/layers/94/clips/1/video/effects/transform/positiony</t>
        </is>
      </c>
      <c r="L5" s="73" t="n">
        <v>0.506629943848</v>
      </c>
      <c r="M5" s="73" t="n">
        <v>0.504295349121</v>
      </c>
      <c r="N5" t="inlineStr">
        <is>
          <t>descending</t>
        </is>
      </c>
      <c r="O5" t="n">
        <v>8</v>
      </c>
      <c r="P5" t="n">
        <v>3</v>
      </c>
      <c r="Q5" t="inlineStr">
        <is>
          <t>PASS</t>
        </is>
      </c>
    </row>
    <row r="6">
      <c r="A6" t="n">
        <v>95</v>
      </c>
      <c r="B6" t="inlineStr">
        <is>
          <t>FADER2</t>
        </is>
      </c>
      <c r="C6" t="inlineStr">
        <is>
          <t>CC7/C2</t>
        </is>
      </c>
      <c r="D6" s="72" t="inlineStr">
        <is>
          <t>144115188075857841</t>
        </is>
      </c>
      <c r="E6" s="63" t="inlineStr">
        <is>
          <t>#e6e6e6ff</t>
        </is>
      </c>
      <c r="F6" t="inlineStr">
        <is>
          <t>/composition/layers/95/clips/1/connect</t>
        </is>
      </c>
      <c r="G6" t="inlineStr">
        <is>
          <t>/composition/layers/95/clips/1/video/opacity</t>
        </is>
      </c>
      <c r="H6" s="73" t="n">
        <v>0.65</v>
      </c>
      <c r="I6" s="73" t="n">
        <v>1</v>
      </c>
      <c r="J6" t="inlineStr">
        <is>
          <t>motion_y</t>
        </is>
      </c>
      <c r="K6" t="inlineStr">
        <is>
          <t>/composition/layers/95/clips/1/video/effects/transform/positiony</t>
        </is>
      </c>
      <c r="L6" s="73" t="n">
        <v>0.506629943848</v>
      </c>
      <c r="M6" s="73" t="n">
        <v>0.504295349121</v>
      </c>
      <c r="N6" t="inlineStr">
        <is>
          <t>descending</t>
        </is>
      </c>
      <c r="O6" t="n">
        <v>8</v>
      </c>
      <c r="P6" t="n">
        <v>3</v>
      </c>
      <c r="Q6" t="inlineStr">
        <is>
          <t>PASS</t>
        </is>
      </c>
    </row>
    <row r="7">
      <c r="A7" t="n">
        <v>96</v>
      </c>
      <c r="B7" t="inlineStr">
        <is>
          <t>FADER3</t>
        </is>
      </c>
      <c r="C7" t="inlineStr">
        <is>
          <t>CC7/C3</t>
        </is>
      </c>
      <c r="D7" s="72" t="inlineStr">
        <is>
          <t>144115188075857842</t>
        </is>
      </c>
      <c r="E7" s="63" t="inlineStr">
        <is>
          <t>#e6e6e6ff</t>
        </is>
      </c>
      <c r="F7" t="inlineStr">
        <is>
          <t>/composition/layers/96/clips/1/connect</t>
        </is>
      </c>
      <c r="G7" t="inlineStr">
        <is>
          <t>/composition/layers/96/clips/1/video/opacity</t>
        </is>
      </c>
      <c r="H7" s="73" t="n">
        <v>0.65</v>
      </c>
      <c r="I7" s="73" t="n">
        <v>1</v>
      </c>
      <c r="J7" t="inlineStr">
        <is>
          <t>motion_y</t>
        </is>
      </c>
      <c r="K7" t="inlineStr">
        <is>
          <t>/composition/layers/96/clips/1/video/effects/transform/positiony</t>
        </is>
      </c>
      <c r="L7" s="73" t="n">
        <v>0.506629943848</v>
      </c>
      <c r="M7" s="73" t="n">
        <v>0.504295349121</v>
      </c>
      <c r="N7" t="inlineStr">
        <is>
          <t>descending</t>
        </is>
      </c>
      <c r="O7" t="n">
        <v>8</v>
      </c>
      <c r="P7" t="n">
        <v>3</v>
      </c>
      <c r="Q7" t="inlineStr">
        <is>
          <t>PASS</t>
        </is>
      </c>
    </row>
    <row r="8">
      <c r="A8" t="n">
        <v>97</v>
      </c>
      <c r="B8" t="inlineStr">
        <is>
          <t>FADER4</t>
        </is>
      </c>
      <c r="C8" t="inlineStr">
        <is>
          <t>CC7/C4</t>
        </is>
      </c>
      <c r="D8" s="72" t="inlineStr">
        <is>
          <t>144115188075857843</t>
        </is>
      </c>
      <c r="E8" s="63" t="inlineStr">
        <is>
          <t>#e6e6e6ff</t>
        </is>
      </c>
      <c r="F8" t="inlineStr">
        <is>
          <t>/composition/layers/97/clips/1/connect</t>
        </is>
      </c>
      <c r="G8" t="inlineStr">
        <is>
          <t>/composition/layers/97/clips/1/video/opacity</t>
        </is>
      </c>
      <c r="H8" s="73" t="n">
        <v>0.65</v>
      </c>
      <c r="I8" s="73" t="n">
        <v>1</v>
      </c>
      <c r="J8" t="inlineStr">
        <is>
          <t>motion_y</t>
        </is>
      </c>
      <c r="K8" t="inlineStr">
        <is>
          <t>/composition/layers/97/clips/1/video/effects/transform/positiony</t>
        </is>
      </c>
      <c r="L8" s="73" t="n">
        <v>0.506629943848</v>
      </c>
      <c r="M8" s="73" t="n">
        <v>0.504295349121</v>
      </c>
      <c r="N8" t="inlineStr">
        <is>
          <t>descending</t>
        </is>
      </c>
      <c r="O8" t="n">
        <v>8</v>
      </c>
      <c r="P8" t="n">
        <v>3</v>
      </c>
      <c r="Q8" t="inlineStr">
        <is>
          <t>PASS</t>
        </is>
      </c>
    </row>
    <row r="9">
      <c r="A9" t="n">
        <v>98</v>
      </c>
      <c r="B9" t="inlineStr">
        <is>
          <t>FADER5</t>
        </is>
      </c>
      <c r="C9" t="inlineStr">
        <is>
          <t>CC7/C5</t>
        </is>
      </c>
      <c r="D9" s="72" t="inlineStr">
        <is>
          <t>144115188075857844</t>
        </is>
      </c>
      <c r="E9" s="63" t="inlineStr">
        <is>
          <t>#e6e6e6ff</t>
        </is>
      </c>
      <c r="F9" t="inlineStr">
        <is>
          <t>/composition/layers/98/clips/1/connect</t>
        </is>
      </c>
      <c r="G9" t="inlineStr">
        <is>
          <t>/composition/layers/98/clips/1/video/opacity</t>
        </is>
      </c>
      <c r="H9" s="73" t="n">
        <v>0.65</v>
      </c>
      <c r="I9" s="73" t="n">
        <v>1</v>
      </c>
      <c r="J9" t="inlineStr">
        <is>
          <t>motion_y</t>
        </is>
      </c>
      <c r="K9" t="inlineStr">
        <is>
          <t>/composition/layers/98/clips/1/video/effects/transform/positiony</t>
        </is>
      </c>
      <c r="L9" s="73" t="n">
        <v>0.506629943848</v>
      </c>
      <c r="M9" s="73" t="n">
        <v>0.504295349121</v>
      </c>
      <c r="N9" t="inlineStr">
        <is>
          <t>descending</t>
        </is>
      </c>
      <c r="O9" t="n">
        <v>8</v>
      </c>
      <c r="P9" t="n">
        <v>3</v>
      </c>
      <c r="Q9" t="inlineStr">
        <is>
          <t>PASS</t>
        </is>
      </c>
    </row>
    <row r="10">
      <c r="A10" t="n">
        <v>99</v>
      </c>
      <c r="B10" t="inlineStr">
        <is>
          <t>FADER6</t>
        </is>
      </c>
      <c r="C10" t="inlineStr">
        <is>
          <t>CC7/C6</t>
        </is>
      </c>
      <c r="D10" s="72" t="inlineStr">
        <is>
          <t>144115188075857845</t>
        </is>
      </c>
      <c r="E10" s="63" t="inlineStr">
        <is>
          <t>#e6e6e6ff</t>
        </is>
      </c>
      <c r="F10" t="inlineStr">
        <is>
          <t>/composition/layers/99/clips/1/connect</t>
        </is>
      </c>
      <c r="G10" t="inlineStr">
        <is>
          <t>/composition/layers/99/clips/1/video/opacity</t>
        </is>
      </c>
      <c r="H10" s="73" t="n">
        <v>0.65</v>
      </c>
      <c r="I10" s="73" t="n">
        <v>1</v>
      </c>
      <c r="J10" t="inlineStr">
        <is>
          <t>motion_y</t>
        </is>
      </c>
      <c r="K10" t="inlineStr">
        <is>
          <t>/composition/layers/99/clips/1/video/effects/transform/positiony</t>
        </is>
      </c>
      <c r="L10" s="73" t="n">
        <v>0.506629943848</v>
      </c>
      <c r="M10" s="73" t="n">
        <v>0.504295349121</v>
      </c>
      <c r="N10" t="inlineStr">
        <is>
          <t>descending</t>
        </is>
      </c>
      <c r="O10" t="n">
        <v>8</v>
      </c>
      <c r="P10" t="n">
        <v>3</v>
      </c>
      <c r="Q10" t="inlineStr">
        <is>
          <t>PASS</t>
        </is>
      </c>
    </row>
    <row r="11">
      <c r="A11" t="n">
        <v>100</v>
      </c>
      <c r="B11" t="inlineStr">
        <is>
          <t>FADER7</t>
        </is>
      </c>
      <c r="C11" t="inlineStr">
        <is>
          <t>CC7/C7</t>
        </is>
      </c>
      <c r="D11" s="72" t="inlineStr">
        <is>
          <t>144115188075857846</t>
        </is>
      </c>
      <c r="E11" s="63" t="inlineStr">
        <is>
          <t>#e6e6e6ff</t>
        </is>
      </c>
      <c r="F11" t="inlineStr">
        <is>
          <t>/composition/layers/100/clips/1/connect</t>
        </is>
      </c>
      <c r="G11" t="inlineStr">
        <is>
          <t>/composition/layers/100/clips/1/video/opacity</t>
        </is>
      </c>
      <c r="H11" s="73" t="n">
        <v>0.65</v>
      </c>
      <c r="I11" s="73" t="n">
        <v>1</v>
      </c>
      <c r="J11" t="inlineStr">
        <is>
          <t>motion_y</t>
        </is>
      </c>
      <c r="K11" t="inlineStr">
        <is>
          <t>/composition/layers/100/clips/1/video/effects/transform/positiony</t>
        </is>
      </c>
      <c r="L11" s="73" t="n">
        <v>0.506629943848</v>
      </c>
      <c r="M11" s="73" t="n">
        <v>0.504295349121</v>
      </c>
      <c r="N11" t="inlineStr">
        <is>
          <t>descending</t>
        </is>
      </c>
      <c r="O11" t="n">
        <v>8</v>
      </c>
      <c r="P11" t="n">
        <v>3</v>
      </c>
      <c r="Q11" t="inlineStr">
        <is>
          <t>PASS</t>
        </is>
      </c>
    </row>
    <row r="12">
      <c r="A12" t="n">
        <v>101</v>
      </c>
      <c r="B12" t="inlineStr">
        <is>
          <t>FADER8</t>
        </is>
      </c>
      <c r="C12" t="inlineStr">
        <is>
          <t>CC7/C8</t>
        </is>
      </c>
      <c r="D12" s="72" t="inlineStr">
        <is>
          <t>144115188075857847</t>
        </is>
      </c>
      <c r="E12" s="63" t="inlineStr">
        <is>
          <t>#e6e6e6ff</t>
        </is>
      </c>
      <c r="F12" t="inlineStr">
        <is>
          <t>/composition/layers/101/clips/1/connect</t>
        </is>
      </c>
      <c r="G12" t="inlineStr">
        <is>
          <t>/composition/layers/101/clips/1/video/opacity</t>
        </is>
      </c>
      <c r="H12" s="73" t="n">
        <v>0.65</v>
      </c>
      <c r="I12" s="73" t="n">
        <v>1</v>
      </c>
      <c r="J12" t="inlineStr">
        <is>
          <t>motion_y</t>
        </is>
      </c>
      <c r="K12" t="inlineStr">
        <is>
          <t>/composition/layers/101/clips/1/video/effects/transform/positiony</t>
        </is>
      </c>
      <c r="L12" s="73" t="n">
        <v>0.506629943848</v>
      </c>
      <c r="M12" s="73" t="n">
        <v>0.504295349121</v>
      </c>
      <c r="N12" t="inlineStr">
        <is>
          <t>descending</t>
        </is>
      </c>
      <c r="O12" t="n">
        <v>8</v>
      </c>
      <c r="P12" t="n">
        <v>3</v>
      </c>
      <c r="Q12" t="inlineStr">
        <is>
          <t>PASS</t>
        </is>
      </c>
    </row>
    <row r="13">
      <c r="A13" t="n">
        <v>102</v>
      </c>
      <c r="B13" t="inlineStr">
        <is>
          <t>TRACK1</t>
        </is>
      </c>
      <c r="C13" t="inlineStr">
        <is>
          <t>CC48/C1</t>
        </is>
      </c>
      <c r="D13" s="72" t="inlineStr">
        <is>
          <t>144115188075868336</t>
        </is>
      </c>
      <c r="E13" s="63" t="inlineStr">
        <is>
          <t>#e6e6e6ff</t>
        </is>
      </c>
      <c r="F13" t="inlineStr">
        <is>
          <t>/composition/layers/102/clips/1/connect</t>
        </is>
      </c>
      <c r="G13" t="inlineStr">
        <is>
          <t>/composition/layers/102/clips/1/video/opacity</t>
        </is>
      </c>
      <c r="H13" s="73" t="n">
        <v>0.35</v>
      </c>
      <c r="I13" s="73" t="n">
        <v>1</v>
      </c>
      <c r="J13" t="inlineStr">
        <is>
          <t>motion_rotation</t>
        </is>
      </c>
      <c r="K13" t="inlineStr">
        <is>
          <t>/composition/layers/102/clips/1/video/effects/transform/rotationz</t>
        </is>
      </c>
      <c r="L13" s="73" t="n">
        <v>0.125</v>
      </c>
      <c r="M13" s="73" t="n">
        <v>0.875</v>
      </c>
      <c r="N13" t="inlineStr">
        <is>
          <t>ascending</t>
        </is>
      </c>
      <c r="O13" t="n">
        <v>8</v>
      </c>
      <c r="P13" t="n">
        <v>3</v>
      </c>
      <c r="Q13" t="inlineStr">
        <is>
          <t>PASS</t>
        </is>
      </c>
    </row>
    <row r="14">
      <c r="A14" t="n">
        <v>103</v>
      </c>
      <c r="B14" t="inlineStr">
        <is>
          <t>TRACK2</t>
        </is>
      </c>
      <c r="C14" t="inlineStr">
        <is>
          <t>CC49/C1</t>
        </is>
      </c>
      <c r="D14" s="72" t="inlineStr">
        <is>
          <t>144115188075868592</t>
        </is>
      </c>
      <c r="E14" s="63" t="inlineStr">
        <is>
          <t>#e6e6e6ff</t>
        </is>
      </c>
      <c r="F14" t="inlineStr">
        <is>
          <t>/composition/layers/103/clips/1/connect</t>
        </is>
      </c>
      <c r="G14" t="inlineStr">
        <is>
          <t>/composition/layers/103/clips/1/video/opacity</t>
        </is>
      </c>
      <c r="H14" s="73" t="n">
        <v>0.35</v>
      </c>
      <c r="I14" s="73" t="n">
        <v>1</v>
      </c>
      <c r="J14" t="inlineStr">
        <is>
          <t>motion_rotation</t>
        </is>
      </c>
      <c r="K14" t="inlineStr">
        <is>
          <t>/composition/layers/103/clips/1/video/effects/transform/rotationz</t>
        </is>
      </c>
      <c r="L14" s="73" t="n">
        <v>0.125</v>
      </c>
      <c r="M14" s="73" t="n">
        <v>0.875</v>
      </c>
      <c r="N14" t="inlineStr">
        <is>
          <t>ascending</t>
        </is>
      </c>
      <c r="O14" t="n">
        <v>8</v>
      </c>
      <c r="P14" t="n">
        <v>3</v>
      </c>
      <c r="Q14" t="inlineStr">
        <is>
          <t>PASS</t>
        </is>
      </c>
    </row>
    <row r="15">
      <c r="A15" t="n">
        <v>104</v>
      </c>
      <c r="B15" t="inlineStr">
        <is>
          <t>TRACK3</t>
        </is>
      </c>
      <c r="C15" t="inlineStr">
        <is>
          <t>CC50/C1</t>
        </is>
      </c>
      <c r="D15" s="72" t="inlineStr">
        <is>
          <t>144115188075868848</t>
        </is>
      </c>
      <c r="E15" s="63" t="inlineStr">
        <is>
          <t>#e6e6e6ff</t>
        </is>
      </c>
      <c r="F15" t="inlineStr">
        <is>
          <t>/composition/layers/104/clips/1/connect</t>
        </is>
      </c>
      <c r="G15" t="inlineStr">
        <is>
          <t>/composition/layers/104/clips/1/video/opacity</t>
        </is>
      </c>
      <c r="H15" s="73" t="n">
        <v>0.35</v>
      </c>
      <c r="I15" s="73" t="n">
        <v>1</v>
      </c>
      <c r="J15" t="inlineStr">
        <is>
          <t>motion_rotation</t>
        </is>
      </c>
      <c r="K15" t="inlineStr">
        <is>
          <t>/composition/layers/104/clips/1/video/effects/transform/rotationz</t>
        </is>
      </c>
      <c r="L15" s="73" t="n">
        <v>0.125</v>
      </c>
      <c r="M15" s="73" t="n">
        <v>0.875</v>
      </c>
      <c r="N15" t="inlineStr">
        <is>
          <t>ascending</t>
        </is>
      </c>
      <c r="O15" t="n">
        <v>8</v>
      </c>
      <c r="P15" t="n">
        <v>3</v>
      </c>
      <c r="Q15" t="inlineStr">
        <is>
          <t>PASS</t>
        </is>
      </c>
    </row>
    <row r="16">
      <c r="A16" t="n">
        <v>105</v>
      </c>
      <c r="B16" t="inlineStr">
        <is>
          <t>TRACK4</t>
        </is>
      </c>
      <c r="C16" t="inlineStr">
        <is>
          <t>CC51/C1</t>
        </is>
      </c>
      <c r="D16" s="72" t="inlineStr">
        <is>
          <t>144115188075869104</t>
        </is>
      </c>
      <c r="E16" s="63" t="inlineStr">
        <is>
          <t>#e6e6e6ff</t>
        </is>
      </c>
      <c r="F16" t="inlineStr">
        <is>
          <t>/composition/layers/105/clips/1/connect</t>
        </is>
      </c>
      <c r="G16" t="inlineStr">
        <is>
          <t>/composition/layers/105/clips/1/video/opacity</t>
        </is>
      </c>
      <c r="H16" s="73" t="n">
        <v>0.35</v>
      </c>
      <c r="I16" s="73" t="n">
        <v>1</v>
      </c>
      <c r="J16" t="inlineStr">
        <is>
          <t>motion_rotation</t>
        </is>
      </c>
      <c r="K16" t="inlineStr">
        <is>
          <t>/composition/layers/105/clips/1/video/effects/transform/rotationz</t>
        </is>
      </c>
      <c r="L16" s="73" t="n">
        <v>0.125</v>
      </c>
      <c r="M16" s="73" t="n">
        <v>0.875</v>
      </c>
      <c r="N16" t="inlineStr">
        <is>
          <t>ascending</t>
        </is>
      </c>
      <c r="O16" t="n">
        <v>8</v>
      </c>
      <c r="P16" t="n">
        <v>3</v>
      </c>
      <c r="Q16" t="inlineStr">
        <is>
          <t>PASS</t>
        </is>
      </c>
    </row>
    <row r="17">
      <c r="A17" t="n">
        <v>106</v>
      </c>
      <c r="B17" t="inlineStr">
        <is>
          <t>TRACK5</t>
        </is>
      </c>
      <c r="C17" t="inlineStr">
        <is>
          <t>CC52/C1</t>
        </is>
      </c>
      <c r="D17" s="72" t="inlineStr">
        <is>
          <t>144115188075869360</t>
        </is>
      </c>
      <c r="E17" s="63" t="inlineStr">
        <is>
          <t>#e6e6e6ff</t>
        </is>
      </c>
      <c r="F17" t="inlineStr">
        <is>
          <t>/composition/layers/106/clips/1/connect</t>
        </is>
      </c>
      <c r="G17" t="inlineStr">
        <is>
          <t>/composition/layers/106/clips/1/video/opacity</t>
        </is>
      </c>
      <c r="H17" s="73" t="n">
        <v>0.35</v>
      </c>
      <c r="I17" s="73" t="n">
        <v>1</v>
      </c>
      <c r="J17" t="inlineStr">
        <is>
          <t>motion_rotation</t>
        </is>
      </c>
      <c r="K17" t="inlineStr">
        <is>
          <t>/composition/layers/106/clips/1/video/effects/transform/rotationz</t>
        </is>
      </c>
      <c r="L17" s="73" t="n">
        <v>0.125</v>
      </c>
      <c r="M17" s="73" t="n">
        <v>0.875</v>
      </c>
      <c r="N17" t="inlineStr">
        <is>
          <t>ascending</t>
        </is>
      </c>
      <c r="O17" t="n">
        <v>8</v>
      </c>
      <c r="P17" t="n">
        <v>3</v>
      </c>
      <c r="Q17" t="inlineStr">
        <is>
          <t>PASS</t>
        </is>
      </c>
    </row>
    <row r="18">
      <c r="A18" t="n">
        <v>107</v>
      </c>
      <c r="B18" t="inlineStr">
        <is>
          <t>TRACK6</t>
        </is>
      </c>
      <c r="C18" t="inlineStr">
        <is>
          <t>CC53/C1</t>
        </is>
      </c>
      <c r="D18" s="72" t="inlineStr">
        <is>
          <t>144115188075869616</t>
        </is>
      </c>
      <c r="E18" s="63" t="inlineStr">
        <is>
          <t>#e6e6e6ff</t>
        </is>
      </c>
      <c r="F18" t="inlineStr">
        <is>
          <t>/composition/layers/107/clips/1/connect</t>
        </is>
      </c>
      <c r="G18" t="inlineStr">
        <is>
          <t>/composition/layers/107/clips/1/video/opacity</t>
        </is>
      </c>
      <c r="H18" s="73" t="n">
        <v>0.35</v>
      </c>
      <c r="I18" s="73" t="n">
        <v>1</v>
      </c>
      <c r="J18" t="inlineStr">
        <is>
          <t>motion_rotation</t>
        </is>
      </c>
      <c r="K18" t="inlineStr">
        <is>
          <t>/composition/layers/107/clips/1/video/effects/transform/rotationz</t>
        </is>
      </c>
      <c r="L18" s="73" t="n">
        <v>0.125</v>
      </c>
      <c r="M18" s="73" t="n">
        <v>0.875</v>
      </c>
      <c r="N18" t="inlineStr">
        <is>
          <t>ascending</t>
        </is>
      </c>
      <c r="O18" t="n">
        <v>8</v>
      </c>
      <c r="P18" t="n">
        <v>3</v>
      </c>
      <c r="Q18" t="inlineStr">
        <is>
          <t>PASS</t>
        </is>
      </c>
    </row>
    <row r="19">
      <c r="A19" t="n">
        <v>108</v>
      </c>
      <c r="B19" t="inlineStr">
        <is>
          <t>TRACK7</t>
        </is>
      </c>
      <c r="C19" t="inlineStr">
        <is>
          <t>CC54/C1</t>
        </is>
      </c>
      <c r="D19" s="72" t="inlineStr">
        <is>
          <t>144115188075869872</t>
        </is>
      </c>
      <c r="E19" s="63" t="inlineStr">
        <is>
          <t>#e6e6e6ff</t>
        </is>
      </c>
      <c r="F19" t="inlineStr">
        <is>
          <t>/composition/layers/108/clips/1/connect</t>
        </is>
      </c>
      <c r="G19" t="inlineStr">
        <is>
          <t>/composition/layers/108/clips/1/video/opacity</t>
        </is>
      </c>
      <c r="H19" s="73" t="n">
        <v>0.35</v>
      </c>
      <c r="I19" s="73" t="n">
        <v>1</v>
      </c>
      <c r="J19" t="inlineStr">
        <is>
          <t>motion_rotation</t>
        </is>
      </c>
      <c r="K19" t="inlineStr">
        <is>
          <t>/composition/layers/108/clips/1/video/effects/transform/rotationz</t>
        </is>
      </c>
      <c r="L19" s="73" t="n">
        <v>0.125</v>
      </c>
      <c r="M19" s="73" t="n">
        <v>0.875</v>
      </c>
      <c r="N19" t="inlineStr">
        <is>
          <t>ascending</t>
        </is>
      </c>
      <c r="O19" t="n">
        <v>8</v>
      </c>
      <c r="P19" t="n">
        <v>3</v>
      </c>
      <c r="Q19" t="inlineStr">
        <is>
          <t>PASS</t>
        </is>
      </c>
    </row>
    <row r="20">
      <c r="A20" t="n">
        <v>109</v>
      </c>
      <c r="B20" t="inlineStr">
        <is>
          <t>TRACK8</t>
        </is>
      </c>
      <c r="C20" t="inlineStr">
        <is>
          <t>CC55/C1</t>
        </is>
      </c>
      <c r="D20" s="72" t="inlineStr">
        <is>
          <t>144115188075870128</t>
        </is>
      </c>
      <c r="E20" s="63" t="inlineStr">
        <is>
          <t>#e6e6e6ff</t>
        </is>
      </c>
      <c r="F20" t="inlineStr">
        <is>
          <t>/composition/layers/109/clips/1/connect</t>
        </is>
      </c>
      <c r="G20" t="inlineStr">
        <is>
          <t>/composition/layers/109/clips/1/video/opacity</t>
        </is>
      </c>
      <c r="H20" s="73" t="n">
        <v>0.35</v>
      </c>
      <c r="I20" s="73" t="n">
        <v>1</v>
      </c>
      <c r="J20" t="inlineStr">
        <is>
          <t>motion_rotation</t>
        </is>
      </c>
      <c r="K20" t="inlineStr">
        <is>
          <t>/composition/layers/109/clips/1/video/effects/transform/rotationz</t>
        </is>
      </c>
      <c r="L20" s="73" t="n">
        <v>0.125</v>
      </c>
      <c r="M20" s="73" t="n">
        <v>0.875</v>
      </c>
      <c r="N20" t="inlineStr">
        <is>
          <t>ascending</t>
        </is>
      </c>
      <c r="O20" t="n">
        <v>8</v>
      </c>
      <c r="P20" t="n">
        <v>3</v>
      </c>
      <c r="Q20" t="inlineStr">
        <is>
          <t>PASS</t>
        </is>
      </c>
    </row>
    <row r="21">
      <c r="A21" t="n">
        <v>110</v>
      </c>
      <c r="B21" t="inlineStr">
        <is>
          <t>DEV1</t>
        </is>
      </c>
      <c r="C21" t="inlineStr">
        <is>
          <t>CC16/C1</t>
        </is>
      </c>
      <c r="D21" s="72" t="inlineStr">
        <is>
          <t>144115188075860144</t>
        </is>
      </c>
      <c r="E21" s="63" t="inlineStr">
        <is>
          <t>#e6e6e6ff</t>
        </is>
      </c>
      <c r="F21" t="inlineStr">
        <is>
          <t>/composition/layers/110/clips/1/connect</t>
        </is>
      </c>
      <c r="G21" t="inlineStr">
        <is>
          <t>/composition/layers/110/clips/1/video/opacity</t>
        </is>
      </c>
      <c r="H21" s="73" t="n">
        <v>0.35</v>
      </c>
      <c r="I21" s="73" t="n">
        <v>1</v>
      </c>
      <c r="J21" t="inlineStr">
        <is>
          <t>motion_rotation</t>
        </is>
      </c>
      <c r="K21" t="inlineStr">
        <is>
          <t>/composition/layers/110/clips/1/video/effects/transform/rotationz</t>
        </is>
      </c>
      <c r="L21" s="73" t="n">
        <v>0.125</v>
      </c>
      <c r="M21" s="73" t="n">
        <v>0.875</v>
      </c>
      <c r="N21" t="inlineStr">
        <is>
          <t>ascending</t>
        </is>
      </c>
      <c r="O21" t="n">
        <v>8</v>
      </c>
      <c r="P21" t="n">
        <v>3</v>
      </c>
      <c r="Q21" t="inlineStr">
        <is>
          <t>PASS</t>
        </is>
      </c>
    </row>
    <row r="22">
      <c r="A22" t="n">
        <v>111</v>
      </c>
      <c r="B22" t="inlineStr">
        <is>
          <t>DEV2</t>
        </is>
      </c>
      <c r="C22" t="inlineStr">
        <is>
          <t>CC17/C1</t>
        </is>
      </c>
      <c r="D22" s="72" t="inlineStr">
        <is>
          <t>144115188075860400</t>
        </is>
      </c>
      <c r="E22" s="63" t="inlineStr">
        <is>
          <t>#e6e6e6ff</t>
        </is>
      </c>
      <c r="F22" t="inlineStr">
        <is>
          <t>/composition/layers/111/clips/1/connect</t>
        </is>
      </c>
      <c r="G22" t="inlineStr">
        <is>
          <t>/composition/layers/111/clips/1/video/opacity</t>
        </is>
      </c>
      <c r="H22" s="73" t="n">
        <v>0.35</v>
      </c>
      <c r="I22" s="73" t="n">
        <v>1</v>
      </c>
      <c r="J22" t="inlineStr">
        <is>
          <t>motion_rotation</t>
        </is>
      </c>
      <c r="K22" t="inlineStr">
        <is>
          <t>/composition/layers/111/clips/1/video/effects/transform/rotationz</t>
        </is>
      </c>
      <c r="L22" s="73" t="n">
        <v>0.125</v>
      </c>
      <c r="M22" s="73" t="n">
        <v>0.875</v>
      </c>
      <c r="N22" t="inlineStr">
        <is>
          <t>ascending</t>
        </is>
      </c>
      <c r="O22" t="n">
        <v>8</v>
      </c>
      <c r="P22" t="n">
        <v>3</v>
      </c>
      <c r="Q22" t="inlineStr">
        <is>
          <t>PASS</t>
        </is>
      </c>
    </row>
    <row r="23">
      <c r="A23" t="n">
        <v>112</v>
      </c>
      <c r="B23" t="inlineStr">
        <is>
          <t>DEV3</t>
        </is>
      </c>
      <c r="C23" t="inlineStr">
        <is>
          <t>CC18/C1</t>
        </is>
      </c>
      <c r="D23" s="72" t="inlineStr">
        <is>
          <t>144115188075860656</t>
        </is>
      </c>
      <c r="E23" s="63" t="inlineStr">
        <is>
          <t>#e6e6e6ff</t>
        </is>
      </c>
      <c r="F23" t="inlineStr">
        <is>
          <t>/composition/layers/112/clips/1/connect</t>
        </is>
      </c>
      <c r="G23" t="inlineStr">
        <is>
          <t>/composition/layers/112/clips/1/video/opacity</t>
        </is>
      </c>
      <c r="H23" s="73" t="n">
        <v>0.35</v>
      </c>
      <c r="I23" s="73" t="n">
        <v>1</v>
      </c>
      <c r="J23" t="inlineStr">
        <is>
          <t>motion_rotation</t>
        </is>
      </c>
      <c r="K23" t="inlineStr">
        <is>
          <t>/composition/layers/112/clips/1/video/effects/transform/rotationz</t>
        </is>
      </c>
      <c r="L23" s="73" t="n">
        <v>0.125</v>
      </c>
      <c r="M23" s="73" t="n">
        <v>0.875</v>
      </c>
      <c r="N23" t="inlineStr">
        <is>
          <t>ascending</t>
        </is>
      </c>
      <c r="O23" t="n">
        <v>8</v>
      </c>
      <c r="P23" t="n">
        <v>3</v>
      </c>
      <c r="Q23" t="inlineStr">
        <is>
          <t>PASS</t>
        </is>
      </c>
    </row>
    <row r="24">
      <c r="A24" t="n">
        <v>113</v>
      </c>
      <c r="B24" t="inlineStr">
        <is>
          <t>DEV4</t>
        </is>
      </c>
      <c r="C24" t="inlineStr">
        <is>
          <t>CC19/C1</t>
        </is>
      </c>
      <c r="D24" s="72" t="inlineStr">
        <is>
          <t>144115188075860912</t>
        </is>
      </c>
      <c r="E24" s="63" t="inlineStr">
        <is>
          <t>#e6e6e6ff</t>
        </is>
      </c>
      <c r="F24" t="inlineStr">
        <is>
          <t>/composition/layers/113/clips/1/connect</t>
        </is>
      </c>
      <c r="G24" t="inlineStr">
        <is>
          <t>/composition/layers/113/clips/1/video/opacity</t>
        </is>
      </c>
      <c r="H24" s="73" t="n">
        <v>0.35</v>
      </c>
      <c r="I24" s="73" t="n">
        <v>1</v>
      </c>
      <c r="J24" t="inlineStr">
        <is>
          <t>motion_rotation</t>
        </is>
      </c>
      <c r="K24" t="inlineStr">
        <is>
          <t>/composition/layers/113/clips/1/video/effects/transform/rotationz</t>
        </is>
      </c>
      <c r="L24" s="73" t="n">
        <v>0.125</v>
      </c>
      <c r="M24" s="73" t="n">
        <v>0.875</v>
      </c>
      <c r="N24" t="inlineStr">
        <is>
          <t>ascending</t>
        </is>
      </c>
      <c r="O24" t="n">
        <v>8</v>
      </c>
      <c r="P24" t="n">
        <v>3</v>
      </c>
      <c r="Q24" t="inlineStr">
        <is>
          <t>PASS</t>
        </is>
      </c>
    </row>
    <row r="25">
      <c r="A25" t="n">
        <v>114</v>
      </c>
      <c r="B25" t="inlineStr">
        <is>
          <t>DEV5</t>
        </is>
      </c>
      <c r="C25" t="inlineStr">
        <is>
          <t>CC20/C1</t>
        </is>
      </c>
      <c r="D25" s="72" t="inlineStr">
        <is>
          <t>144115188075861168</t>
        </is>
      </c>
      <c r="E25" s="63" t="inlineStr">
        <is>
          <t>#e6e6e6ff</t>
        </is>
      </c>
      <c r="F25" t="inlineStr">
        <is>
          <t>/composition/layers/114/clips/1/connect</t>
        </is>
      </c>
      <c r="G25" t="inlineStr">
        <is>
          <t>/composition/layers/114/clips/1/video/opacity</t>
        </is>
      </c>
      <c r="H25" s="73" t="n">
        <v>0.35</v>
      </c>
      <c r="I25" s="73" t="n">
        <v>1</v>
      </c>
      <c r="J25" t="inlineStr">
        <is>
          <t>motion_rotation</t>
        </is>
      </c>
      <c r="K25" t="inlineStr">
        <is>
          <t>/composition/layers/114/clips/1/video/effects/transform/rotationz</t>
        </is>
      </c>
      <c r="L25" s="73" t="n">
        <v>0.125</v>
      </c>
      <c r="M25" s="73" t="n">
        <v>0.875</v>
      </c>
      <c r="N25" t="inlineStr">
        <is>
          <t>ascending</t>
        </is>
      </c>
      <c r="O25" t="n">
        <v>8</v>
      </c>
      <c r="P25" t="n">
        <v>3</v>
      </c>
      <c r="Q25" t="inlineStr">
        <is>
          <t>PASS</t>
        </is>
      </c>
    </row>
    <row r="26">
      <c r="A26" t="n">
        <v>115</v>
      </c>
      <c r="B26" t="inlineStr">
        <is>
          <t>DEV6</t>
        </is>
      </c>
      <c r="C26" t="inlineStr">
        <is>
          <t>CC21/C1</t>
        </is>
      </c>
      <c r="D26" s="72" t="inlineStr">
        <is>
          <t>144115188075861424</t>
        </is>
      </c>
      <c r="E26" s="63" t="inlineStr">
        <is>
          <t>#e6e6e6ff</t>
        </is>
      </c>
      <c r="F26" t="inlineStr">
        <is>
          <t>/composition/layers/115/clips/1/connect</t>
        </is>
      </c>
      <c r="G26" t="inlineStr">
        <is>
          <t>/composition/layers/115/clips/1/video/opacity</t>
        </is>
      </c>
      <c r="H26" s="73" t="n">
        <v>0.35</v>
      </c>
      <c r="I26" s="73" t="n">
        <v>1</v>
      </c>
      <c r="J26" t="inlineStr">
        <is>
          <t>motion_rotation</t>
        </is>
      </c>
      <c r="K26" t="inlineStr">
        <is>
          <t>/composition/layers/115/clips/1/video/effects/transform/rotationz</t>
        </is>
      </c>
      <c r="L26" s="73" t="n">
        <v>0.125</v>
      </c>
      <c r="M26" s="73" t="n">
        <v>0.875</v>
      </c>
      <c r="N26" t="inlineStr">
        <is>
          <t>ascending</t>
        </is>
      </c>
      <c r="O26" t="n">
        <v>8</v>
      </c>
      <c r="P26" t="n">
        <v>3</v>
      </c>
      <c r="Q26" t="inlineStr">
        <is>
          <t>PASS</t>
        </is>
      </c>
    </row>
    <row r="27">
      <c r="A27" t="n">
        <v>116</v>
      </c>
      <c r="B27" t="inlineStr">
        <is>
          <t>DEV7</t>
        </is>
      </c>
      <c r="C27" t="inlineStr">
        <is>
          <t>CC22/C1</t>
        </is>
      </c>
      <c r="D27" s="72" t="inlineStr">
        <is>
          <t>144115188075861680</t>
        </is>
      </c>
      <c r="E27" s="63" t="inlineStr">
        <is>
          <t>#e6e6e6ff</t>
        </is>
      </c>
      <c r="F27" t="inlineStr">
        <is>
          <t>/composition/layers/116/clips/1/connect</t>
        </is>
      </c>
      <c r="G27" t="inlineStr">
        <is>
          <t>/composition/layers/116/clips/1/video/opacity</t>
        </is>
      </c>
      <c r="H27" s="73" t="n">
        <v>0.35</v>
      </c>
      <c r="I27" s="73" t="n">
        <v>1</v>
      </c>
      <c r="J27" t="inlineStr">
        <is>
          <t>motion_rotation</t>
        </is>
      </c>
      <c r="K27" t="inlineStr">
        <is>
          <t>/composition/layers/116/clips/1/video/effects/transform/rotationz</t>
        </is>
      </c>
      <c r="L27" s="73" t="n">
        <v>0.125</v>
      </c>
      <c r="M27" s="73" t="n">
        <v>0.875</v>
      </c>
      <c r="N27" t="inlineStr">
        <is>
          <t>ascending</t>
        </is>
      </c>
      <c r="O27" t="n">
        <v>8</v>
      </c>
      <c r="P27" t="n">
        <v>3</v>
      </c>
      <c r="Q27" t="inlineStr">
        <is>
          <t>PASS</t>
        </is>
      </c>
    </row>
    <row r="28">
      <c r="A28" t="n">
        <v>117</v>
      </c>
      <c r="B28" t="inlineStr">
        <is>
          <t>DEV8</t>
        </is>
      </c>
      <c r="C28" t="inlineStr">
        <is>
          <t>CC23/C1</t>
        </is>
      </c>
      <c r="D28" s="72" t="inlineStr">
        <is>
          <t>144115188075861936</t>
        </is>
      </c>
      <c r="E28" s="63" t="inlineStr">
        <is>
          <t>#e6e6e6ff</t>
        </is>
      </c>
      <c r="F28" t="inlineStr">
        <is>
          <t>/composition/layers/117/clips/1/connect</t>
        </is>
      </c>
      <c r="G28" t="inlineStr">
        <is>
          <t>/composition/layers/117/clips/1/video/opacity</t>
        </is>
      </c>
      <c r="H28" s="73" t="n">
        <v>0.35</v>
      </c>
      <c r="I28" s="73" t="n">
        <v>1</v>
      </c>
      <c r="J28" t="inlineStr">
        <is>
          <t>motion_rotation</t>
        </is>
      </c>
      <c r="K28" t="inlineStr">
        <is>
          <t>/composition/layers/117/clips/1/video/effects/transform/rotationz</t>
        </is>
      </c>
      <c r="L28" s="73" t="n">
        <v>0.125</v>
      </c>
      <c r="M28" s="73" t="n">
        <v>0.875</v>
      </c>
      <c r="N28" t="inlineStr">
        <is>
          <t>ascending</t>
        </is>
      </c>
      <c r="O28" t="n">
        <v>8</v>
      </c>
      <c r="P28" t="n">
        <v>3</v>
      </c>
      <c r="Q28" t="inlineStr">
        <is>
          <t>PASS</t>
        </is>
      </c>
    </row>
    <row r="29">
      <c r="A29" t="n">
        <v>143</v>
      </c>
      <c r="B29" t="inlineStr">
        <is>
          <t>MASTER</t>
        </is>
      </c>
      <c r="C29" t="inlineStr">
        <is>
          <t>CC14/C1</t>
        </is>
      </c>
      <c r="D29" s="72" t="inlineStr">
        <is>
          <t>144115188075859632</t>
        </is>
      </c>
      <c r="E29" s="63" t="inlineStr">
        <is>
          <t>#e6e6e6ff</t>
        </is>
      </c>
      <c r="F29" t="inlineStr">
        <is>
          <t>/composition/layers/143/clips/1/connect</t>
        </is>
      </c>
      <c r="G29" t="inlineStr">
        <is>
          <t>/composition/layers/143/clips/1/video/opacity</t>
        </is>
      </c>
      <c r="H29" s="73" t="n">
        <v>0.65</v>
      </c>
      <c r="I29" s="73" t="n">
        <v>1</v>
      </c>
      <c r="J29" t="inlineStr">
        <is>
          <t>motion_y</t>
        </is>
      </c>
      <c r="K29" t="inlineStr">
        <is>
          <t>/composition/layers/143/clips/1/video/effects/transform/positiony</t>
        </is>
      </c>
      <c r="L29" s="73" t="n">
        <v>0.506629943848</v>
      </c>
      <c r="M29" s="73" t="n">
        <v>0.504295349121</v>
      </c>
      <c r="N29" t="inlineStr">
        <is>
          <t>descending</t>
        </is>
      </c>
      <c r="O29" t="n">
        <v>8</v>
      </c>
      <c r="P29" t="n">
        <v>3</v>
      </c>
      <c r="Q29" t="inlineStr">
        <is>
          <t>PASS</t>
        </is>
      </c>
    </row>
    <row r="30">
      <c r="A30" t="n">
        <v>144</v>
      </c>
      <c r="B30" t="inlineStr">
        <is>
          <t>X-FADE</t>
        </is>
      </c>
      <c r="C30" t="inlineStr">
        <is>
          <t>CC15/C1</t>
        </is>
      </c>
      <c r="D30" s="72" t="inlineStr">
        <is>
          <t>144115188075859888</t>
        </is>
      </c>
      <c r="E30" s="63" t="inlineStr">
        <is>
          <t>#e6e6e6ff</t>
        </is>
      </c>
      <c r="F30" t="inlineStr">
        <is>
          <t>/composition/layers/144/clips/1/connect</t>
        </is>
      </c>
      <c r="G30" t="inlineStr">
        <is>
          <t>/composition/layers/144/clips/1/video/opacity</t>
        </is>
      </c>
      <c r="H30" s="73" t="n">
        <v>0.65</v>
      </c>
      <c r="I30" s="73" t="n">
        <v>1</v>
      </c>
      <c r="J30" t="inlineStr">
        <is>
          <t>motion_x</t>
        </is>
      </c>
      <c r="K30" t="inlineStr">
        <is>
          <t>/composition/layers/144/clips/1/video/effects/transform/positionx</t>
        </is>
      </c>
      <c r="L30" s="73" t="n">
        <v>0.508819580078</v>
      </c>
      <c r="M30" s="73" t="n">
        <v>0.510620117188</v>
      </c>
      <c r="N30" t="inlineStr">
        <is>
          <t>ascending</t>
        </is>
      </c>
      <c r="O30" t="n">
        <v>8</v>
      </c>
      <c r="P30" t="n">
        <v>3</v>
      </c>
      <c r="Q30" t="inlineStr">
        <is>
          <t>PASS</t>
        </is>
      </c>
    </row>
    <row r="31">
      <c r="A31" t="n">
        <v>145</v>
      </c>
      <c r="B31" t="inlineStr">
        <is>
          <t>CUE</t>
        </is>
      </c>
      <c r="C31" t="inlineStr">
        <is>
          <t>CC47/C1</t>
        </is>
      </c>
      <c r="D31" s="72" t="inlineStr">
        <is>
          <t>144115188075868080</t>
        </is>
      </c>
      <c r="E31" s="63" t="inlineStr">
        <is>
          <t>#e6e6e6ff</t>
        </is>
      </c>
      <c r="F31" t="inlineStr">
        <is>
          <t>/composition/layers/145/clips/1/connect</t>
        </is>
      </c>
      <c r="G31" t="inlineStr">
        <is>
          <t>/composition/layers/145/clips/1/video/opacity</t>
        </is>
      </c>
      <c r="H31" s="73" t="n">
        <v>0.35</v>
      </c>
      <c r="I31" s="73" t="n">
        <v>1</v>
      </c>
      <c r="J31" t="inlineStr">
        <is>
          <t>motion_rotation</t>
        </is>
      </c>
      <c r="K31" t="inlineStr">
        <is>
          <t>/composition/layers/145/clips/1/video/effects/transform/rotationz</t>
        </is>
      </c>
      <c r="L31" s="73" t="n">
        <v>0.125</v>
      </c>
      <c r="M31" s="73" t="n">
        <v>0.875</v>
      </c>
      <c r="N31" t="inlineStr">
        <is>
          <t>ascending</t>
        </is>
      </c>
      <c r="O31" t="n">
        <v>8</v>
      </c>
      <c r="P31" t="n">
        <v>3</v>
      </c>
      <c r="Q31" t="inlineStr">
        <is>
          <t>PASS</t>
        </is>
      </c>
    </row>
    <row r="32">
      <c r="A32" t="n">
        <v>148</v>
      </c>
      <c r="B32" t="inlineStr">
        <is>
          <t>TEMPO</t>
        </is>
      </c>
      <c r="C32" t="inlineStr">
        <is>
          <t>CC13/C1</t>
        </is>
      </c>
      <c r="D32" s="72" t="inlineStr">
        <is>
          <t>144115188075859376</t>
        </is>
      </c>
      <c r="E32" s="51" t="inlineStr">
        <is>
          <t>#e23b3bff</t>
        </is>
      </c>
      <c r="F32" t="inlineStr">
        <is>
          <t>/composition/layers/148/clips/1/connect</t>
        </is>
      </c>
      <c r="H32" s="73" t="n"/>
      <c r="I32" s="73" t="n"/>
      <c r="J32" t="inlineStr">
        <is>
          <t>tempo_motion</t>
        </is>
      </c>
      <c r="K32" t="inlineStr">
        <is>
          <t>/composition/layers/148/clips/1/video/effects/transform/rotationz</t>
        </is>
      </c>
      <c r="L32" s="73" t="n"/>
      <c r="M32" s="73" t="n"/>
      <c r="N32" t="inlineStr">
        <is>
          <t>relative</t>
        </is>
      </c>
      <c r="O32" t="n">
        <v>16392</v>
      </c>
      <c r="P32" t="n">
        <v>2</v>
      </c>
      <c r="Q32" t="inlineStr">
        <is>
          <t>PASS</t>
        </is>
      </c>
    </row>
  </sheetData>
  <mergeCells count="2">
    <mergeCell ref="A2:Q2"/>
    <mergeCell ref="A1:Q1"/>
  </mergeCells>
  <conditionalFormatting sqref="Q5:Q3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23" customWidth="1" min="5" max="5"/>
    <col width="46" customWidth="1" min="6" max="6"/>
    <col width="46" customWidth="1" min="7" max="7"/>
    <col width="48" customWidth="1" min="8" max="8"/>
    <col width="18" customWidth="1" min="9" max="9"/>
    <col width="12" customWidth="1" min="10" max="10"/>
    <col width="16" customWidth="1" min="11" max="11"/>
    <col width="16" customWidth="1" min="12" max="12"/>
    <col width="10" customWidth="1" min="13" max="13"/>
    <col width="10" customWidth="1" min="14" max="14"/>
  </cols>
  <sheetData>
    <row r="1" ht="28" customHeight="1">
      <c r="A1" s="64" t="inlineStr">
        <is>
          <t>Button and LED Feedback — 120 Protected Records</t>
        </is>
      </c>
    </row>
    <row r="2" ht="20" customHeight="1">
      <c r="A2" s="5" t="inlineStr">
        <is>
          <t>Every note mapping preserves the accepted output device, feedback sibling, LED value, and witness color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Section</t>
        </is>
      </c>
      <c r="D4" s="37" t="inlineStr">
        <is>
          <t>MIDI Address</t>
        </is>
      </c>
      <c r="E4" s="37" t="inlineStr">
        <is>
          <t>Raw Key</t>
        </is>
      </c>
      <c r="F4" s="37" t="inlineStr">
        <is>
          <t>Connect Path</t>
        </is>
      </c>
      <c r="G4" s="37" t="inlineStr">
        <is>
          <t>Output Path</t>
        </is>
      </c>
      <c r="H4" s="37" t="inlineStr">
        <is>
          <t>Feedback Sibling</t>
        </is>
      </c>
      <c r="I4" s="37" t="inlineStr">
        <is>
          <t>Output Device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Connected Value</t>
        </is>
      </c>
      <c r="M4" s="37" t="inlineStr">
        <is>
          <t>Mappings</t>
        </is>
      </c>
      <c r="N4" s="16" t="inlineStr">
        <is>
          <t>QA</t>
        </is>
      </c>
    </row>
    <row r="5">
      <c r="A5" t="n">
        <v>1</v>
      </c>
      <c r="B5" t="inlineStr">
        <is>
          <t>G1-5</t>
        </is>
      </c>
      <c r="C5" t="inlineStr">
        <is>
          <t>grid</t>
        </is>
      </c>
      <c r="D5" t="inlineStr">
        <is>
          <t>N0/C1</t>
        </is>
      </c>
      <c r="E5" s="72" t="inlineStr">
        <is>
          <t>72057594037928080</t>
        </is>
      </c>
      <c r="F5" t="inlineStr">
        <is>
          <t>/composition/layers/1/clips/1/connect</t>
        </is>
      </c>
      <c r="G5" t="inlineStr">
        <is>
          <t>/composition/layers/1/clips/1/connect</t>
        </is>
      </c>
      <c r="H5" t="inlineStr">
        <is>
          <t>/composition/layers/1/clips/1/connected</t>
        </is>
      </c>
      <c r="I5" t="inlineStr">
        <is>
          <t>APC40 mkII</t>
        </is>
      </c>
      <c r="J5" s="71" t="n">
        <v>45</v>
      </c>
      <c r="K5" s="42" t="inlineStr">
        <is>
          <t>#2b5bffff</t>
        </is>
      </c>
      <c r="L5" s="74" t="n">
        <v>0.3543307086614173</v>
      </c>
      <c r="M5" t="n">
        <v>1</v>
      </c>
      <c r="N5" t="inlineStr">
        <is>
          <t>PASS</t>
        </is>
      </c>
    </row>
    <row r="6">
      <c r="A6" t="n">
        <v>2</v>
      </c>
      <c r="B6" t="inlineStr">
        <is>
          <t>G2-5</t>
        </is>
      </c>
      <c r="C6" t="inlineStr">
        <is>
          <t>grid</t>
        </is>
      </c>
      <c r="D6" t="inlineStr">
        <is>
          <t>N1/C1</t>
        </is>
      </c>
      <c r="E6" s="72" t="inlineStr">
        <is>
          <t>72057594037928336</t>
        </is>
      </c>
      <c r="F6" t="inlineStr">
        <is>
          <t>/composition/layers/2/clips/1/connect</t>
        </is>
      </c>
      <c r="G6" t="inlineStr">
        <is>
          <t>/composition/layers/2/clips/1/connect</t>
        </is>
      </c>
      <c r="H6" t="inlineStr">
        <is>
          <t>/composition/layers/2/clips/1/connected</t>
        </is>
      </c>
      <c r="I6" t="inlineStr">
        <is>
          <t>APC40 mkII</t>
        </is>
      </c>
      <c r="J6" s="71" t="n">
        <v>37</v>
      </c>
      <c r="K6" s="45" t="inlineStr">
        <is>
          <t>#17c8e8ff</t>
        </is>
      </c>
      <c r="L6" s="74" t="n">
        <v>0.2913385826771653</v>
      </c>
      <c r="M6" t="n">
        <v>1</v>
      </c>
      <c r="N6" t="inlineStr">
        <is>
          <t>PASS</t>
        </is>
      </c>
    </row>
    <row r="7">
      <c r="A7" t="n">
        <v>3</v>
      </c>
      <c r="B7" t="inlineStr">
        <is>
          <t>G3-5</t>
        </is>
      </c>
      <c r="C7" t="inlineStr">
        <is>
          <t>grid</t>
        </is>
      </c>
      <c r="D7" t="inlineStr">
        <is>
          <t>N2/C1</t>
        </is>
      </c>
      <c r="E7" s="72" t="inlineStr">
        <is>
          <t>72057594037928592</t>
        </is>
      </c>
      <c r="F7" t="inlineStr">
        <is>
          <t>/composition/layers/3/clips/1/connect</t>
        </is>
      </c>
      <c r="G7" t="inlineStr">
        <is>
          <t>/composition/layers/3/clips/1/connect</t>
        </is>
      </c>
      <c r="H7" t="inlineStr">
        <is>
          <t>/composition/layers/3/clips/1/connected</t>
        </is>
      </c>
      <c r="I7" t="inlineStr">
        <is>
          <t>APC40 mkII</t>
        </is>
      </c>
      <c r="J7" s="71" t="n">
        <v>21</v>
      </c>
      <c r="K7" s="48" t="inlineStr">
        <is>
          <t>#23c552ff</t>
        </is>
      </c>
      <c r="L7" s="74" t="n">
        <v>0.1653543307086614</v>
      </c>
      <c r="M7" t="n">
        <v>1</v>
      </c>
      <c r="N7" t="inlineStr">
        <is>
          <t>PASS</t>
        </is>
      </c>
    </row>
    <row r="8">
      <c r="A8" t="n">
        <v>4</v>
      </c>
      <c r="B8" t="inlineStr">
        <is>
          <t>G4-5</t>
        </is>
      </c>
      <c r="C8" t="inlineStr">
        <is>
          <t>grid</t>
        </is>
      </c>
      <c r="D8" t="inlineStr">
        <is>
          <t>N3/C1</t>
        </is>
      </c>
      <c r="E8" s="72" t="inlineStr">
        <is>
          <t>72057594037928848</t>
        </is>
      </c>
      <c r="F8" t="inlineStr">
        <is>
          <t>/composition/layers/4/clips/1/connect</t>
        </is>
      </c>
      <c r="G8" t="inlineStr">
        <is>
          <t>/composition/layers/4/clips/1/connect</t>
        </is>
      </c>
      <c r="H8" t="inlineStr">
        <is>
          <t>/composition/layers/4/clips/1/connected</t>
        </is>
      </c>
      <c r="I8" t="inlineStr">
        <is>
          <t>APC40 mkII</t>
        </is>
      </c>
      <c r="J8" s="71" t="n">
        <v>5</v>
      </c>
      <c r="K8" s="51" t="inlineStr">
        <is>
          <t>#e23b3bff</t>
        </is>
      </c>
      <c r="L8" s="74" t="n">
        <v>0.03937007874015748</v>
      </c>
      <c r="M8" t="n">
        <v>1</v>
      </c>
      <c r="N8" t="inlineStr">
        <is>
          <t>PASS</t>
        </is>
      </c>
    </row>
    <row r="9">
      <c r="A9" t="n">
        <v>5</v>
      </c>
      <c r="B9" t="inlineStr">
        <is>
          <t>G5-5</t>
        </is>
      </c>
      <c r="C9" t="inlineStr">
        <is>
          <t>grid</t>
        </is>
      </c>
      <c r="D9" t="inlineStr">
        <is>
          <t>N4/C1</t>
        </is>
      </c>
      <c r="E9" s="72" t="inlineStr">
        <is>
          <t>72057594037929104</t>
        </is>
      </c>
      <c r="F9" t="inlineStr">
        <is>
          <t>/composition/layers/5/clips/1/connect</t>
        </is>
      </c>
      <c r="G9" t="inlineStr">
        <is>
          <t>/composition/layers/5/clips/1/connect</t>
        </is>
      </c>
      <c r="H9" t="inlineStr">
        <is>
          <t>/composition/layers/5/clips/1/connected</t>
        </is>
      </c>
      <c r="I9" t="inlineStr">
        <is>
          <t>APC40 mkII</t>
        </is>
      </c>
      <c r="J9" s="71" t="n">
        <v>9</v>
      </c>
      <c r="K9" s="54" t="inlineStr">
        <is>
          <t>#f08a24ff</t>
        </is>
      </c>
      <c r="L9" s="74" t="n">
        <v>0.07086614173228346</v>
      </c>
      <c r="M9" t="n">
        <v>1</v>
      </c>
      <c r="N9" t="inlineStr">
        <is>
          <t>PASS</t>
        </is>
      </c>
    </row>
    <row r="10">
      <c r="A10" t="n">
        <v>6</v>
      </c>
      <c r="B10" t="inlineStr">
        <is>
          <t>G6-5</t>
        </is>
      </c>
      <c r="C10" t="inlineStr">
        <is>
          <t>grid</t>
        </is>
      </c>
      <c r="D10" t="inlineStr">
        <is>
          <t>N5/C1</t>
        </is>
      </c>
      <c r="E10" s="72" t="inlineStr">
        <is>
          <t>72057594037929360</t>
        </is>
      </c>
      <c r="F10" t="inlineStr">
        <is>
          <t>/composition/layers/6/clips/1/connect</t>
        </is>
      </c>
      <c r="G10" t="inlineStr">
        <is>
          <t>/composition/layers/6/clips/1/connect</t>
        </is>
      </c>
      <c r="H10" t="inlineStr">
        <is>
          <t>/composition/layers/6/clips/1/connected</t>
        </is>
      </c>
      <c r="I10" t="inlineStr">
        <is>
          <t>APC40 mkII</t>
        </is>
      </c>
      <c r="J10" s="71" t="n">
        <v>49</v>
      </c>
      <c r="K10" s="57" t="inlineStr">
        <is>
          <t>#7a3fc0ff</t>
        </is>
      </c>
      <c r="L10" s="74" t="n">
        <v>0.3858267716535433</v>
      </c>
      <c r="M10" t="n">
        <v>1</v>
      </c>
      <c r="N10" t="inlineStr">
        <is>
          <t>PASS</t>
        </is>
      </c>
    </row>
    <row r="11">
      <c r="A11" t="n">
        <v>7</v>
      </c>
      <c r="B11" t="inlineStr">
        <is>
          <t>G7-5</t>
        </is>
      </c>
      <c r="C11" t="inlineStr">
        <is>
          <t>grid</t>
        </is>
      </c>
      <c r="D11" t="inlineStr">
        <is>
          <t>N6/C1</t>
        </is>
      </c>
      <c r="E11" s="72" t="inlineStr">
        <is>
          <t>72057594037929616</t>
        </is>
      </c>
      <c r="F11" t="inlineStr">
        <is>
          <t>/composition/layers/7/clips/1/connect</t>
        </is>
      </c>
      <c r="G11" t="inlineStr">
        <is>
          <t>/composition/layers/7/clips/1/connect</t>
        </is>
      </c>
      <c r="H11" t="inlineStr">
        <is>
          <t>/composition/layers/7/clips/1/connected</t>
        </is>
      </c>
      <c r="I11" t="inlineStr">
        <is>
          <t>APC40 mkII</t>
        </is>
      </c>
      <c r="J11" s="71" t="n">
        <v>53</v>
      </c>
      <c r="K11" s="60" t="inlineStr">
        <is>
          <t>#c81e9aff</t>
        </is>
      </c>
      <c r="L11" s="74" t="n">
        <v>0.4173228346456693</v>
      </c>
      <c r="M11" t="n">
        <v>1</v>
      </c>
      <c r="N11" t="inlineStr">
        <is>
          <t>PASS</t>
        </is>
      </c>
    </row>
    <row r="12">
      <c r="A12" t="n">
        <v>8</v>
      </c>
      <c r="B12" t="inlineStr">
        <is>
          <t>G8-5</t>
        </is>
      </c>
      <c r="C12" t="inlineStr">
        <is>
          <t>grid</t>
        </is>
      </c>
      <c r="D12" t="inlineStr">
        <is>
          <t>N7/C1</t>
        </is>
      </c>
      <c r="E12" s="72" t="inlineStr">
        <is>
          <t>72057594037929872</t>
        </is>
      </c>
      <c r="F12" t="inlineStr">
        <is>
          <t>/composition/layers/8/clips/1/connect</t>
        </is>
      </c>
      <c r="G12" t="inlineStr">
        <is>
          <t>/composition/layers/8/clips/1/connect</t>
        </is>
      </c>
      <c r="H12" t="inlineStr">
        <is>
          <t>/composition/layers/8/clips/1/connected</t>
        </is>
      </c>
      <c r="I12" t="inlineStr">
        <is>
          <t>APC40 mkII</t>
        </is>
      </c>
      <c r="J12" s="71" t="n">
        <v>3</v>
      </c>
      <c r="K12" s="63" t="inlineStr">
        <is>
          <t>#e6e6e6ff</t>
        </is>
      </c>
      <c r="L12" s="74" t="n">
        <v>0.02362204724409449</v>
      </c>
      <c r="M12" t="n">
        <v>1</v>
      </c>
      <c r="N12" t="inlineStr">
        <is>
          <t>PASS</t>
        </is>
      </c>
    </row>
    <row r="13">
      <c r="A13" t="n">
        <v>9</v>
      </c>
      <c r="B13" t="inlineStr">
        <is>
          <t>G1-4</t>
        </is>
      </c>
      <c r="C13" t="inlineStr">
        <is>
          <t>grid</t>
        </is>
      </c>
      <c r="D13" t="inlineStr">
        <is>
          <t>N8/C1</t>
        </is>
      </c>
      <c r="E13" s="72" t="inlineStr">
        <is>
          <t>72057594037930128</t>
        </is>
      </c>
      <c r="F13" t="inlineStr">
        <is>
          <t>/composition/layers/9/clips/1/connect</t>
        </is>
      </c>
      <c r="G13" t="inlineStr">
        <is>
          <t>/composition/layers/9/clips/1/connect</t>
        </is>
      </c>
      <c r="H13" t="inlineStr">
        <is>
          <t>/composition/layers/9/clips/1/connected</t>
        </is>
      </c>
      <c r="I13" t="inlineStr">
        <is>
          <t>APC40 mkII</t>
        </is>
      </c>
      <c r="J13" s="71" t="n">
        <v>45</v>
      </c>
      <c r="K13" s="42" t="inlineStr">
        <is>
          <t>#2b5bffff</t>
        </is>
      </c>
      <c r="L13" s="74" t="n">
        <v>0.3543307086614173</v>
      </c>
      <c r="M13" t="n">
        <v>1</v>
      </c>
      <c r="N13" t="inlineStr">
        <is>
          <t>PASS</t>
        </is>
      </c>
    </row>
    <row r="14">
      <c r="A14" t="n">
        <v>10</v>
      </c>
      <c r="B14" t="inlineStr">
        <is>
          <t>G2-4</t>
        </is>
      </c>
      <c r="C14" t="inlineStr">
        <is>
          <t>grid</t>
        </is>
      </c>
      <c r="D14" t="inlineStr">
        <is>
          <t>N9/C1</t>
        </is>
      </c>
      <c r="E14" s="72" t="inlineStr">
        <is>
          <t>72057594037930384</t>
        </is>
      </c>
      <c r="F14" t="inlineStr">
        <is>
          <t>/composition/layers/10/clips/1/connect</t>
        </is>
      </c>
      <c r="G14" t="inlineStr">
        <is>
          <t>/composition/layers/10/clips/1/connect</t>
        </is>
      </c>
      <c r="H14" t="inlineStr">
        <is>
          <t>/composition/layers/10/clips/1/connected</t>
        </is>
      </c>
      <c r="I14" t="inlineStr">
        <is>
          <t>APC40 mkII</t>
        </is>
      </c>
      <c r="J14" s="71" t="n">
        <v>37</v>
      </c>
      <c r="K14" s="45" t="inlineStr">
        <is>
          <t>#17c8e8ff</t>
        </is>
      </c>
      <c r="L14" s="74" t="n">
        <v>0.2913385826771653</v>
      </c>
      <c r="M14" t="n">
        <v>1</v>
      </c>
      <c r="N14" t="inlineStr">
        <is>
          <t>PASS</t>
        </is>
      </c>
    </row>
    <row r="15">
      <c r="A15" t="n">
        <v>11</v>
      </c>
      <c r="B15" t="inlineStr">
        <is>
          <t>G3-4</t>
        </is>
      </c>
      <c r="C15" t="inlineStr">
        <is>
          <t>grid</t>
        </is>
      </c>
      <c r="D15" t="inlineStr">
        <is>
          <t>N10/C1</t>
        </is>
      </c>
      <c r="E15" s="72" t="inlineStr">
        <is>
          <t>72057594037930640</t>
        </is>
      </c>
      <c r="F15" t="inlineStr">
        <is>
          <t>/composition/layers/11/clips/1/connect</t>
        </is>
      </c>
      <c r="G15" t="inlineStr">
        <is>
          <t>/composition/layers/11/clips/1/connect</t>
        </is>
      </c>
      <c r="H15" t="inlineStr">
        <is>
          <t>/composition/layers/11/clips/1/connected</t>
        </is>
      </c>
      <c r="I15" t="inlineStr">
        <is>
          <t>APC40 mkII</t>
        </is>
      </c>
      <c r="J15" s="71" t="n">
        <v>21</v>
      </c>
      <c r="K15" s="48" t="inlineStr">
        <is>
          <t>#23c552ff</t>
        </is>
      </c>
      <c r="L15" s="74" t="n">
        <v>0.1653543307086614</v>
      </c>
      <c r="M15" t="n">
        <v>1</v>
      </c>
      <c r="N15" t="inlineStr">
        <is>
          <t>PASS</t>
        </is>
      </c>
    </row>
    <row r="16">
      <c r="A16" t="n">
        <v>12</v>
      </c>
      <c r="B16" t="inlineStr">
        <is>
          <t>G4-4</t>
        </is>
      </c>
      <c r="C16" t="inlineStr">
        <is>
          <t>grid</t>
        </is>
      </c>
      <c r="D16" t="inlineStr">
        <is>
          <t>N11/C1</t>
        </is>
      </c>
      <c r="E16" s="72" t="inlineStr">
        <is>
          <t>72057594037930896</t>
        </is>
      </c>
      <c r="F16" t="inlineStr">
        <is>
          <t>/composition/layers/12/clips/1/connect</t>
        </is>
      </c>
      <c r="G16" t="inlineStr">
        <is>
          <t>/composition/layers/12/clips/1/connect</t>
        </is>
      </c>
      <c r="H16" t="inlineStr">
        <is>
          <t>/composition/layers/12/clips/1/connected</t>
        </is>
      </c>
      <c r="I16" t="inlineStr">
        <is>
          <t>APC40 mkII</t>
        </is>
      </c>
      <c r="J16" s="71" t="n">
        <v>5</v>
      </c>
      <c r="K16" s="51" t="inlineStr">
        <is>
          <t>#e23b3bff</t>
        </is>
      </c>
      <c r="L16" s="74" t="n">
        <v>0.03937007874015748</v>
      </c>
      <c r="M16" t="n">
        <v>1</v>
      </c>
      <c r="N16" t="inlineStr">
        <is>
          <t>PASS</t>
        </is>
      </c>
    </row>
    <row r="17">
      <c r="A17" t="n">
        <v>13</v>
      </c>
      <c r="B17" t="inlineStr">
        <is>
          <t>G5-4</t>
        </is>
      </c>
      <c r="C17" t="inlineStr">
        <is>
          <t>grid</t>
        </is>
      </c>
      <c r="D17" t="inlineStr">
        <is>
          <t>N12/C1</t>
        </is>
      </c>
      <c r="E17" s="72" t="inlineStr">
        <is>
          <t>72057594037931152</t>
        </is>
      </c>
      <c r="F17" t="inlineStr">
        <is>
          <t>/composition/layers/13/clips/1/connect</t>
        </is>
      </c>
      <c r="G17" t="inlineStr">
        <is>
          <t>/composition/layers/13/clips/1/connect</t>
        </is>
      </c>
      <c r="H17" t="inlineStr">
        <is>
          <t>/composition/layers/13/clips/1/connected</t>
        </is>
      </c>
      <c r="I17" t="inlineStr">
        <is>
          <t>APC40 mkII</t>
        </is>
      </c>
      <c r="J17" s="71" t="n">
        <v>9</v>
      </c>
      <c r="K17" s="54" t="inlineStr">
        <is>
          <t>#f08a24ff</t>
        </is>
      </c>
      <c r="L17" s="74" t="n">
        <v>0.07086614173228346</v>
      </c>
      <c r="M17" t="n">
        <v>1</v>
      </c>
      <c r="N17" t="inlineStr">
        <is>
          <t>PASS</t>
        </is>
      </c>
    </row>
    <row r="18">
      <c r="A18" t="n">
        <v>14</v>
      </c>
      <c r="B18" t="inlineStr">
        <is>
          <t>G6-4</t>
        </is>
      </c>
      <c r="C18" t="inlineStr">
        <is>
          <t>grid</t>
        </is>
      </c>
      <c r="D18" t="inlineStr">
        <is>
          <t>N13/C1</t>
        </is>
      </c>
      <c r="E18" s="72" t="inlineStr">
        <is>
          <t>72057594037931408</t>
        </is>
      </c>
      <c r="F18" t="inlineStr">
        <is>
          <t>/composition/layers/14/clips/1/connect</t>
        </is>
      </c>
      <c r="G18" t="inlineStr">
        <is>
          <t>/composition/layers/14/clips/1/connect</t>
        </is>
      </c>
      <c r="H18" t="inlineStr">
        <is>
          <t>/composition/layers/14/clips/1/connected</t>
        </is>
      </c>
      <c r="I18" t="inlineStr">
        <is>
          <t>APC40 mkII</t>
        </is>
      </c>
      <c r="J18" s="71" t="n">
        <v>49</v>
      </c>
      <c r="K18" s="57" t="inlineStr">
        <is>
          <t>#7a3fc0ff</t>
        </is>
      </c>
      <c r="L18" s="74" t="n">
        <v>0.3858267716535433</v>
      </c>
      <c r="M18" t="n">
        <v>1</v>
      </c>
      <c r="N18" t="inlineStr">
        <is>
          <t>PASS</t>
        </is>
      </c>
    </row>
    <row r="19">
      <c r="A19" t="n">
        <v>15</v>
      </c>
      <c r="B19" t="inlineStr">
        <is>
          <t>G7-4</t>
        </is>
      </c>
      <c r="C19" t="inlineStr">
        <is>
          <t>grid</t>
        </is>
      </c>
      <c r="D19" t="inlineStr">
        <is>
          <t>N14/C1</t>
        </is>
      </c>
      <c r="E19" s="72" t="inlineStr">
        <is>
          <t>72057594037931664</t>
        </is>
      </c>
      <c r="F19" t="inlineStr">
        <is>
          <t>/composition/layers/15/clips/1/connect</t>
        </is>
      </c>
      <c r="G19" t="inlineStr">
        <is>
          <t>/composition/layers/15/clips/1/connect</t>
        </is>
      </c>
      <c r="H19" t="inlineStr">
        <is>
          <t>/composition/layers/15/clips/1/connected</t>
        </is>
      </c>
      <c r="I19" t="inlineStr">
        <is>
          <t>APC40 mkII</t>
        </is>
      </c>
      <c r="J19" s="71" t="n">
        <v>53</v>
      </c>
      <c r="K19" s="60" t="inlineStr">
        <is>
          <t>#c81e9aff</t>
        </is>
      </c>
      <c r="L19" s="74" t="n">
        <v>0.4173228346456693</v>
      </c>
      <c r="M19" t="n">
        <v>1</v>
      </c>
      <c r="N19" t="inlineStr">
        <is>
          <t>PASS</t>
        </is>
      </c>
    </row>
    <row r="20">
      <c r="A20" t="n">
        <v>16</v>
      </c>
      <c r="B20" t="inlineStr">
        <is>
          <t>G8-4</t>
        </is>
      </c>
      <c r="C20" t="inlineStr">
        <is>
          <t>grid</t>
        </is>
      </c>
      <c r="D20" t="inlineStr">
        <is>
          <t>N15/C1</t>
        </is>
      </c>
      <c r="E20" s="72" t="inlineStr">
        <is>
          <t>72057594037931920</t>
        </is>
      </c>
      <c r="F20" t="inlineStr">
        <is>
          <t>/composition/layers/16/clips/1/connect</t>
        </is>
      </c>
      <c r="G20" t="inlineStr">
        <is>
          <t>/composition/layers/16/clips/1/connect</t>
        </is>
      </c>
      <c r="H20" t="inlineStr">
        <is>
          <t>/composition/layers/16/clips/1/connected</t>
        </is>
      </c>
      <c r="I20" t="inlineStr">
        <is>
          <t>APC40 mkII</t>
        </is>
      </c>
      <c r="J20" s="71" t="n">
        <v>3</v>
      </c>
      <c r="K20" s="63" t="inlineStr">
        <is>
          <t>#e6e6e6ff</t>
        </is>
      </c>
      <c r="L20" s="74" t="n">
        <v>0.02362204724409449</v>
      </c>
      <c r="M20" t="n">
        <v>1</v>
      </c>
      <c r="N20" t="inlineStr">
        <is>
          <t>PASS</t>
        </is>
      </c>
    </row>
    <row r="21">
      <c r="A21" t="n">
        <v>17</v>
      </c>
      <c r="B21" t="inlineStr">
        <is>
          <t>G1-3</t>
        </is>
      </c>
      <c r="C21" t="inlineStr">
        <is>
          <t>grid</t>
        </is>
      </c>
      <c r="D21" t="inlineStr">
        <is>
          <t>N16/C1</t>
        </is>
      </c>
      <c r="E21" s="72" t="inlineStr">
        <is>
          <t>72057594037932176</t>
        </is>
      </c>
      <c r="F21" t="inlineStr">
        <is>
          <t>/composition/layers/17/clips/1/connect</t>
        </is>
      </c>
      <c r="G21" t="inlineStr">
        <is>
          <t>/composition/layers/17/clips/1/connect</t>
        </is>
      </c>
      <c r="H21" t="inlineStr">
        <is>
          <t>/composition/layers/17/clips/1/connected</t>
        </is>
      </c>
      <c r="I21" t="inlineStr">
        <is>
          <t>APC40 mkII</t>
        </is>
      </c>
      <c r="J21" s="71" t="n">
        <v>45</v>
      </c>
      <c r="K21" s="42" t="inlineStr">
        <is>
          <t>#2b5bffff</t>
        </is>
      </c>
      <c r="L21" s="74" t="n">
        <v>0.3543307086614173</v>
      </c>
      <c r="M21" t="n">
        <v>1</v>
      </c>
      <c r="N21" t="inlineStr">
        <is>
          <t>PASS</t>
        </is>
      </c>
    </row>
    <row r="22">
      <c r="A22" t="n">
        <v>18</v>
      </c>
      <c r="B22" t="inlineStr">
        <is>
          <t>G2-3</t>
        </is>
      </c>
      <c r="C22" t="inlineStr">
        <is>
          <t>grid</t>
        </is>
      </c>
      <c r="D22" t="inlineStr">
        <is>
          <t>N17/C1</t>
        </is>
      </c>
      <c r="E22" s="72" t="inlineStr">
        <is>
          <t>72057594037932432</t>
        </is>
      </c>
      <c r="F22" t="inlineStr">
        <is>
          <t>/composition/layers/18/clips/1/connect</t>
        </is>
      </c>
      <c r="G22" t="inlineStr">
        <is>
          <t>/composition/layers/18/clips/1/connect</t>
        </is>
      </c>
      <c r="H22" t="inlineStr">
        <is>
          <t>/composition/layers/18/clips/1/connected</t>
        </is>
      </c>
      <c r="I22" t="inlineStr">
        <is>
          <t>APC40 mkII</t>
        </is>
      </c>
      <c r="J22" s="71" t="n">
        <v>37</v>
      </c>
      <c r="K22" s="45" t="inlineStr">
        <is>
          <t>#17c8e8ff</t>
        </is>
      </c>
      <c r="L22" s="74" t="n">
        <v>0.2913385826771653</v>
      </c>
      <c r="M22" t="n">
        <v>1</v>
      </c>
      <c r="N22" t="inlineStr">
        <is>
          <t>PASS</t>
        </is>
      </c>
    </row>
    <row r="23">
      <c r="A23" t="n">
        <v>19</v>
      </c>
      <c r="B23" t="inlineStr">
        <is>
          <t>G3-3</t>
        </is>
      </c>
      <c r="C23" t="inlineStr">
        <is>
          <t>grid</t>
        </is>
      </c>
      <c r="D23" t="inlineStr">
        <is>
          <t>N18/C1</t>
        </is>
      </c>
      <c r="E23" s="72" t="inlineStr">
        <is>
          <t>72057594037932688</t>
        </is>
      </c>
      <c r="F23" t="inlineStr">
        <is>
          <t>/composition/layers/19/clips/1/connect</t>
        </is>
      </c>
      <c r="G23" t="inlineStr">
        <is>
          <t>/composition/layers/19/clips/1/connect</t>
        </is>
      </c>
      <c r="H23" t="inlineStr">
        <is>
          <t>/composition/layers/19/clips/1/connected</t>
        </is>
      </c>
      <c r="I23" t="inlineStr">
        <is>
          <t>APC40 mkII</t>
        </is>
      </c>
      <c r="J23" s="71" t="n">
        <v>21</v>
      </c>
      <c r="K23" s="48" t="inlineStr">
        <is>
          <t>#23c552ff</t>
        </is>
      </c>
      <c r="L23" s="74" t="n">
        <v>0.1653543307086614</v>
      </c>
      <c r="M23" t="n">
        <v>1</v>
      </c>
      <c r="N23" t="inlineStr">
        <is>
          <t>PASS</t>
        </is>
      </c>
    </row>
    <row r="24">
      <c r="A24" t="n">
        <v>20</v>
      </c>
      <c r="B24" t="inlineStr">
        <is>
          <t>G4-3</t>
        </is>
      </c>
      <c r="C24" t="inlineStr">
        <is>
          <t>grid</t>
        </is>
      </c>
      <c r="D24" t="inlineStr">
        <is>
          <t>N19/C1</t>
        </is>
      </c>
      <c r="E24" s="72" t="inlineStr">
        <is>
          <t>72057594037932944</t>
        </is>
      </c>
      <c r="F24" t="inlineStr">
        <is>
          <t>/composition/layers/20/clips/1/connect</t>
        </is>
      </c>
      <c r="G24" t="inlineStr">
        <is>
          <t>/composition/layers/20/clips/1/connect</t>
        </is>
      </c>
      <c r="H24" t="inlineStr">
        <is>
          <t>/composition/layers/20/clips/1/connected</t>
        </is>
      </c>
      <c r="I24" t="inlineStr">
        <is>
          <t>APC40 mkII</t>
        </is>
      </c>
      <c r="J24" s="71" t="n">
        <v>5</v>
      </c>
      <c r="K24" s="51" t="inlineStr">
        <is>
          <t>#e23b3bff</t>
        </is>
      </c>
      <c r="L24" s="74" t="n">
        <v>0.03937007874015748</v>
      </c>
      <c r="M24" t="n">
        <v>1</v>
      </c>
      <c r="N24" t="inlineStr">
        <is>
          <t>PASS</t>
        </is>
      </c>
    </row>
    <row r="25">
      <c r="A25" t="n">
        <v>21</v>
      </c>
      <c r="B25" t="inlineStr">
        <is>
          <t>G5-3</t>
        </is>
      </c>
      <c r="C25" t="inlineStr">
        <is>
          <t>grid</t>
        </is>
      </c>
      <c r="D25" t="inlineStr">
        <is>
          <t>N20/C1</t>
        </is>
      </c>
      <c r="E25" s="72" t="inlineStr">
        <is>
          <t>72057594037933200</t>
        </is>
      </c>
      <c r="F25" t="inlineStr">
        <is>
          <t>/composition/layers/21/clips/1/connect</t>
        </is>
      </c>
      <c r="G25" t="inlineStr">
        <is>
          <t>/composition/layers/21/clips/1/connect</t>
        </is>
      </c>
      <c r="H25" t="inlineStr">
        <is>
          <t>/composition/layers/21/clips/1/connected</t>
        </is>
      </c>
      <c r="I25" t="inlineStr">
        <is>
          <t>APC40 mkII</t>
        </is>
      </c>
      <c r="J25" s="71" t="n">
        <v>9</v>
      </c>
      <c r="K25" s="54" t="inlineStr">
        <is>
          <t>#f08a24ff</t>
        </is>
      </c>
      <c r="L25" s="74" t="n">
        <v>0.07086614173228346</v>
      </c>
      <c r="M25" t="n">
        <v>1</v>
      </c>
      <c r="N25" t="inlineStr">
        <is>
          <t>PASS</t>
        </is>
      </c>
    </row>
    <row r="26">
      <c r="A26" t="n">
        <v>22</v>
      </c>
      <c r="B26" t="inlineStr">
        <is>
          <t>G6-3</t>
        </is>
      </c>
      <c r="C26" t="inlineStr">
        <is>
          <t>grid</t>
        </is>
      </c>
      <c r="D26" t="inlineStr">
        <is>
          <t>N21/C1</t>
        </is>
      </c>
      <c r="E26" s="72" t="inlineStr">
        <is>
          <t>72057594037933456</t>
        </is>
      </c>
      <c r="F26" t="inlineStr">
        <is>
          <t>/composition/layers/22/clips/1/connect</t>
        </is>
      </c>
      <c r="G26" t="inlineStr">
        <is>
          <t>/composition/layers/22/clips/1/connect</t>
        </is>
      </c>
      <c r="H26" t="inlineStr">
        <is>
          <t>/composition/layers/22/clips/1/connected</t>
        </is>
      </c>
      <c r="I26" t="inlineStr">
        <is>
          <t>APC40 mkII</t>
        </is>
      </c>
      <c r="J26" s="71" t="n">
        <v>49</v>
      </c>
      <c r="K26" s="57" t="inlineStr">
        <is>
          <t>#7a3fc0ff</t>
        </is>
      </c>
      <c r="L26" s="74" t="n">
        <v>0.3858267716535433</v>
      </c>
      <c r="M26" t="n">
        <v>1</v>
      </c>
      <c r="N26" t="inlineStr">
        <is>
          <t>PASS</t>
        </is>
      </c>
    </row>
    <row r="27">
      <c r="A27" t="n">
        <v>23</v>
      </c>
      <c r="B27" t="inlineStr">
        <is>
          <t>G7-3</t>
        </is>
      </c>
      <c r="C27" t="inlineStr">
        <is>
          <t>grid</t>
        </is>
      </c>
      <c r="D27" t="inlineStr">
        <is>
          <t>N22/C1</t>
        </is>
      </c>
      <c r="E27" s="72" t="inlineStr">
        <is>
          <t>72057594037933712</t>
        </is>
      </c>
      <c r="F27" t="inlineStr">
        <is>
          <t>/composition/layers/23/clips/1/connect</t>
        </is>
      </c>
      <c r="G27" t="inlineStr">
        <is>
          <t>/composition/layers/23/clips/1/connect</t>
        </is>
      </c>
      <c r="H27" t="inlineStr">
        <is>
          <t>/composition/layers/23/clips/1/connected</t>
        </is>
      </c>
      <c r="I27" t="inlineStr">
        <is>
          <t>APC40 mkII</t>
        </is>
      </c>
      <c r="J27" s="71" t="n">
        <v>53</v>
      </c>
      <c r="K27" s="60" t="inlineStr">
        <is>
          <t>#c81e9aff</t>
        </is>
      </c>
      <c r="L27" s="74" t="n">
        <v>0.4173228346456693</v>
      </c>
      <c r="M27" t="n">
        <v>1</v>
      </c>
      <c r="N27" t="inlineStr">
        <is>
          <t>PASS</t>
        </is>
      </c>
    </row>
    <row r="28">
      <c r="A28" t="n">
        <v>24</v>
      </c>
      <c r="B28" t="inlineStr">
        <is>
          <t>G8-3</t>
        </is>
      </c>
      <c r="C28" t="inlineStr">
        <is>
          <t>grid</t>
        </is>
      </c>
      <c r="D28" t="inlineStr">
        <is>
          <t>N23/C1</t>
        </is>
      </c>
      <c r="E28" s="72" t="inlineStr">
        <is>
          <t>72057594037933968</t>
        </is>
      </c>
      <c r="F28" t="inlineStr">
        <is>
          <t>/composition/layers/24/clips/1/connect</t>
        </is>
      </c>
      <c r="G28" t="inlineStr">
        <is>
          <t>/composition/layers/24/clips/1/connect</t>
        </is>
      </c>
      <c r="H28" t="inlineStr">
        <is>
          <t>/composition/layers/24/clips/1/connected</t>
        </is>
      </c>
      <c r="I28" t="inlineStr">
        <is>
          <t>APC40 mkII</t>
        </is>
      </c>
      <c r="J28" s="71" t="n">
        <v>3</v>
      </c>
      <c r="K28" s="63" t="inlineStr">
        <is>
          <t>#e6e6e6ff</t>
        </is>
      </c>
      <c r="L28" s="74" t="n">
        <v>0.02362204724409449</v>
      </c>
      <c r="M28" t="n">
        <v>1</v>
      </c>
      <c r="N28" t="inlineStr">
        <is>
          <t>PASS</t>
        </is>
      </c>
    </row>
    <row r="29">
      <c r="A29" t="n">
        <v>25</v>
      </c>
      <c r="B29" t="inlineStr">
        <is>
          <t>G1-2</t>
        </is>
      </c>
      <c r="C29" t="inlineStr">
        <is>
          <t>grid</t>
        </is>
      </c>
      <c r="D29" t="inlineStr">
        <is>
          <t>N24/C1</t>
        </is>
      </c>
      <c r="E29" s="72" t="inlineStr">
        <is>
          <t>72057594037934224</t>
        </is>
      </c>
      <c r="F29" t="inlineStr">
        <is>
          <t>/composition/layers/25/clips/1/connect</t>
        </is>
      </c>
      <c r="G29" t="inlineStr">
        <is>
          <t>/composition/layers/25/clips/1/connect</t>
        </is>
      </c>
      <c r="H29" t="inlineStr">
        <is>
          <t>/composition/layers/25/clips/1/connected</t>
        </is>
      </c>
      <c r="I29" t="inlineStr">
        <is>
          <t>APC40 mkII</t>
        </is>
      </c>
      <c r="J29" s="71" t="n">
        <v>45</v>
      </c>
      <c r="K29" s="42" t="inlineStr">
        <is>
          <t>#2b5bffff</t>
        </is>
      </c>
      <c r="L29" s="74" t="n">
        <v>0.3543307086614173</v>
      </c>
      <c r="M29" t="n">
        <v>1</v>
      </c>
      <c r="N29" t="inlineStr">
        <is>
          <t>PASS</t>
        </is>
      </c>
    </row>
    <row r="30">
      <c r="A30" t="n">
        <v>26</v>
      </c>
      <c r="B30" t="inlineStr">
        <is>
          <t>G2-2</t>
        </is>
      </c>
      <c r="C30" t="inlineStr">
        <is>
          <t>grid</t>
        </is>
      </c>
      <c r="D30" t="inlineStr">
        <is>
          <t>N25/C1</t>
        </is>
      </c>
      <c r="E30" s="72" t="inlineStr">
        <is>
          <t>72057594037934480</t>
        </is>
      </c>
      <c r="F30" t="inlineStr">
        <is>
          <t>/composition/layers/26/clips/1/connect</t>
        </is>
      </c>
      <c r="G30" t="inlineStr">
        <is>
          <t>/composition/layers/26/clips/1/connect</t>
        </is>
      </c>
      <c r="H30" t="inlineStr">
        <is>
          <t>/composition/layers/26/clips/1/connected</t>
        </is>
      </c>
      <c r="I30" t="inlineStr">
        <is>
          <t>APC40 mkII</t>
        </is>
      </c>
      <c r="J30" s="71" t="n">
        <v>37</v>
      </c>
      <c r="K30" s="45" t="inlineStr">
        <is>
          <t>#17c8e8ff</t>
        </is>
      </c>
      <c r="L30" s="74" t="n">
        <v>0.2913385826771653</v>
      </c>
      <c r="M30" t="n">
        <v>1</v>
      </c>
      <c r="N30" t="inlineStr">
        <is>
          <t>PASS</t>
        </is>
      </c>
    </row>
    <row r="31">
      <c r="A31" t="n">
        <v>27</v>
      </c>
      <c r="B31" t="inlineStr">
        <is>
          <t>G3-2</t>
        </is>
      </c>
      <c r="C31" t="inlineStr">
        <is>
          <t>grid</t>
        </is>
      </c>
      <c r="D31" t="inlineStr">
        <is>
          <t>N26/C1</t>
        </is>
      </c>
      <c r="E31" s="72" t="inlineStr">
        <is>
          <t>72057594037934736</t>
        </is>
      </c>
      <c r="F31" t="inlineStr">
        <is>
          <t>/composition/layers/27/clips/1/connect</t>
        </is>
      </c>
      <c r="G31" t="inlineStr">
        <is>
          <t>/composition/layers/27/clips/1/connect</t>
        </is>
      </c>
      <c r="H31" t="inlineStr">
        <is>
          <t>/composition/layers/27/clips/1/connected</t>
        </is>
      </c>
      <c r="I31" t="inlineStr">
        <is>
          <t>APC40 mkII</t>
        </is>
      </c>
      <c r="J31" s="71" t="n">
        <v>21</v>
      </c>
      <c r="K31" s="48" t="inlineStr">
        <is>
          <t>#23c552ff</t>
        </is>
      </c>
      <c r="L31" s="74" t="n">
        <v>0.1653543307086614</v>
      </c>
      <c r="M31" t="n">
        <v>1</v>
      </c>
      <c r="N31" t="inlineStr">
        <is>
          <t>PASS</t>
        </is>
      </c>
    </row>
    <row r="32">
      <c r="A32" t="n">
        <v>28</v>
      </c>
      <c r="B32" t="inlineStr">
        <is>
          <t>G4-2</t>
        </is>
      </c>
      <c r="C32" t="inlineStr">
        <is>
          <t>grid</t>
        </is>
      </c>
      <c r="D32" t="inlineStr">
        <is>
          <t>N27/C1</t>
        </is>
      </c>
      <c r="E32" s="72" t="inlineStr">
        <is>
          <t>72057594037934992</t>
        </is>
      </c>
      <c r="F32" t="inlineStr">
        <is>
          <t>/composition/layers/28/clips/1/connect</t>
        </is>
      </c>
      <c r="G32" t="inlineStr">
        <is>
          <t>/composition/layers/28/clips/1/connect</t>
        </is>
      </c>
      <c r="H32" t="inlineStr">
        <is>
          <t>/composition/layers/28/clips/1/connected</t>
        </is>
      </c>
      <c r="I32" t="inlineStr">
        <is>
          <t>APC40 mkII</t>
        </is>
      </c>
      <c r="J32" s="71" t="n">
        <v>5</v>
      </c>
      <c r="K32" s="51" t="inlineStr">
        <is>
          <t>#e23b3bff</t>
        </is>
      </c>
      <c r="L32" s="74" t="n">
        <v>0.03937007874015748</v>
      </c>
      <c r="M32" t="n">
        <v>1</v>
      </c>
      <c r="N32" t="inlineStr">
        <is>
          <t>PASS</t>
        </is>
      </c>
    </row>
    <row r="33">
      <c r="A33" t="n">
        <v>29</v>
      </c>
      <c r="B33" t="inlineStr">
        <is>
          <t>G5-2</t>
        </is>
      </c>
      <c r="C33" t="inlineStr">
        <is>
          <t>grid</t>
        </is>
      </c>
      <c r="D33" t="inlineStr">
        <is>
          <t>N28/C1</t>
        </is>
      </c>
      <c r="E33" s="72" t="inlineStr">
        <is>
          <t>72057594037935248</t>
        </is>
      </c>
      <c r="F33" t="inlineStr">
        <is>
          <t>/composition/layers/29/clips/1/connect</t>
        </is>
      </c>
      <c r="G33" t="inlineStr">
        <is>
          <t>/composition/layers/29/clips/1/connect</t>
        </is>
      </c>
      <c r="H33" t="inlineStr">
        <is>
          <t>/composition/layers/29/clips/1/connected</t>
        </is>
      </c>
      <c r="I33" t="inlineStr">
        <is>
          <t>APC40 mkII</t>
        </is>
      </c>
      <c r="J33" s="71" t="n">
        <v>9</v>
      </c>
      <c r="K33" s="54" t="inlineStr">
        <is>
          <t>#f08a24ff</t>
        </is>
      </c>
      <c r="L33" s="74" t="n">
        <v>0.07086614173228346</v>
      </c>
      <c r="M33" t="n">
        <v>1</v>
      </c>
      <c r="N33" t="inlineStr">
        <is>
          <t>PASS</t>
        </is>
      </c>
    </row>
    <row r="34">
      <c r="A34" t="n">
        <v>30</v>
      </c>
      <c r="B34" t="inlineStr">
        <is>
          <t>G6-2</t>
        </is>
      </c>
      <c r="C34" t="inlineStr">
        <is>
          <t>grid</t>
        </is>
      </c>
      <c r="D34" t="inlineStr">
        <is>
          <t>N29/C1</t>
        </is>
      </c>
      <c r="E34" s="72" t="inlineStr">
        <is>
          <t>72057594037935504</t>
        </is>
      </c>
      <c r="F34" t="inlineStr">
        <is>
          <t>/composition/layers/30/clips/1/connect</t>
        </is>
      </c>
      <c r="G34" t="inlineStr">
        <is>
          <t>/composition/layers/30/clips/1/connect</t>
        </is>
      </c>
      <c r="H34" t="inlineStr">
        <is>
          <t>/composition/layers/30/clips/1/connected</t>
        </is>
      </c>
      <c r="I34" t="inlineStr">
        <is>
          <t>APC40 mkII</t>
        </is>
      </c>
      <c r="J34" s="71" t="n">
        <v>49</v>
      </c>
      <c r="K34" s="57" t="inlineStr">
        <is>
          <t>#7a3fc0ff</t>
        </is>
      </c>
      <c r="L34" s="74" t="n">
        <v>0.3858267716535433</v>
      </c>
      <c r="M34" t="n">
        <v>1</v>
      </c>
      <c r="N34" t="inlineStr">
        <is>
          <t>PASS</t>
        </is>
      </c>
    </row>
    <row r="35">
      <c r="A35" t="n">
        <v>31</v>
      </c>
      <c r="B35" t="inlineStr">
        <is>
          <t>G7-2</t>
        </is>
      </c>
      <c r="C35" t="inlineStr">
        <is>
          <t>grid</t>
        </is>
      </c>
      <c r="D35" t="inlineStr">
        <is>
          <t>N30/C1</t>
        </is>
      </c>
      <c r="E35" s="72" t="inlineStr">
        <is>
          <t>72057594037935760</t>
        </is>
      </c>
      <c r="F35" t="inlineStr">
        <is>
          <t>/composition/layers/31/clips/1/connect</t>
        </is>
      </c>
      <c r="G35" t="inlineStr">
        <is>
          <t>/composition/layers/31/clips/1/connect</t>
        </is>
      </c>
      <c r="H35" t="inlineStr">
        <is>
          <t>/composition/layers/31/clips/1/connected</t>
        </is>
      </c>
      <c r="I35" t="inlineStr">
        <is>
          <t>APC40 mkII</t>
        </is>
      </c>
      <c r="J35" s="71" t="n">
        <v>53</v>
      </c>
      <c r="K35" s="60" t="inlineStr">
        <is>
          <t>#c81e9aff</t>
        </is>
      </c>
      <c r="L35" s="74" t="n">
        <v>0.4173228346456693</v>
      </c>
      <c r="M35" t="n">
        <v>1</v>
      </c>
      <c r="N35" t="inlineStr">
        <is>
          <t>PASS</t>
        </is>
      </c>
    </row>
    <row r="36">
      <c r="A36" t="n">
        <v>32</v>
      </c>
      <c r="B36" t="inlineStr">
        <is>
          <t>G8-2</t>
        </is>
      </c>
      <c r="C36" t="inlineStr">
        <is>
          <t>grid</t>
        </is>
      </c>
      <c r="D36" t="inlineStr">
        <is>
          <t>N31/C1</t>
        </is>
      </c>
      <c r="E36" s="72" t="inlineStr">
        <is>
          <t>72057594037936016</t>
        </is>
      </c>
      <c r="F36" t="inlineStr">
        <is>
          <t>/composition/layers/32/clips/1/connect</t>
        </is>
      </c>
      <c r="G36" t="inlineStr">
        <is>
          <t>/composition/layers/32/clips/1/connect</t>
        </is>
      </c>
      <c r="H36" t="inlineStr">
        <is>
          <t>/composition/layers/32/clips/1/connected</t>
        </is>
      </c>
      <c r="I36" t="inlineStr">
        <is>
          <t>APC40 mkII</t>
        </is>
      </c>
      <c r="J36" s="71" t="n">
        <v>3</v>
      </c>
      <c r="K36" s="63" t="inlineStr">
        <is>
          <t>#e6e6e6ff</t>
        </is>
      </c>
      <c r="L36" s="74" t="n">
        <v>0.02362204724409449</v>
      </c>
      <c r="M36" t="n">
        <v>1</v>
      </c>
      <c r="N36" t="inlineStr">
        <is>
          <t>PASS</t>
        </is>
      </c>
    </row>
    <row r="37">
      <c r="A37" t="n">
        <v>33</v>
      </c>
      <c r="B37" t="inlineStr">
        <is>
          <t>G1-1</t>
        </is>
      </c>
      <c r="C37" t="inlineStr">
        <is>
          <t>grid</t>
        </is>
      </c>
      <c r="D37" t="inlineStr">
        <is>
          <t>N32/C1</t>
        </is>
      </c>
      <c r="E37" s="72" t="inlineStr">
        <is>
          <t>72057594037936272</t>
        </is>
      </c>
      <c r="F37" t="inlineStr">
        <is>
          <t>/composition/layers/33/clips/1/connect</t>
        </is>
      </c>
      <c r="G37" t="inlineStr">
        <is>
          <t>/composition/layers/33/clips/1/connect</t>
        </is>
      </c>
      <c r="H37" t="inlineStr">
        <is>
          <t>/composition/layers/33/clips/1/connected</t>
        </is>
      </c>
      <c r="I37" t="inlineStr">
        <is>
          <t>APC40 mkII</t>
        </is>
      </c>
      <c r="J37" s="71" t="n">
        <v>45</v>
      </c>
      <c r="K37" s="42" t="inlineStr">
        <is>
          <t>#2b5bffff</t>
        </is>
      </c>
      <c r="L37" s="74" t="n">
        <v>0.3543307086614173</v>
      </c>
      <c r="M37" t="n">
        <v>1</v>
      </c>
      <c r="N37" t="inlineStr">
        <is>
          <t>PASS</t>
        </is>
      </c>
    </row>
    <row r="38">
      <c r="A38" t="n">
        <v>34</v>
      </c>
      <c r="B38" t="inlineStr">
        <is>
          <t>G2-1</t>
        </is>
      </c>
      <c r="C38" t="inlineStr">
        <is>
          <t>grid</t>
        </is>
      </c>
      <c r="D38" t="inlineStr">
        <is>
          <t>N33/C1</t>
        </is>
      </c>
      <c r="E38" s="72" t="inlineStr">
        <is>
          <t>72057594037936528</t>
        </is>
      </c>
      <c r="F38" t="inlineStr">
        <is>
          <t>/composition/layers/34/clips/1/connect</t>
        </is>
      </c>
      <c r="G38" t="inlineStr">
        <is>
          <t>/composition/layers/34/clips/1/connect</t>
        </is>
      </c>
      <c r="H38" t="inlineStr">
        <is>
          <t>/composition/layers/34/clips/1/connected</t>
        </is>
      </c>
      <c r="I38" t="inlineStr">
        <is>
          <t>APC40 mkII</t>
        </is>
      </c>
      <c r="J38" s="71" t="n">
        <v>37</v>
      </c>
      <c r="K38" s="45" t="inlineStr">
        <is>
          <t>#17c8e8ff</t>
        </is>
      </c>
      <c r="L38" s="74" t="n">
        <v>0.2913385826771653</v>
      </c>
      <c r="M38" t="n">
        <v>1</v>
      </c>
      <c r="N38" t="inlineStr">
        <is>
          <t>PASS</t>
        </is>
      </c>
    </row>
    <row r="39">
      <c r="A39" t="n">
        <v>35</v>
      </c>
      <c r="B39" t="inlineStr">
        <is>
          <t>G3-1</t>
        </is>
      </c>
      <c r="C39" t="inlineStr">
        <is>
          <t>grid</t>
        </is>
      </c>
      <c r="D39" t="inlineStr">
        <is>
          <t>N34/C1</t>
        </is>
      </c>
      <c r="E39" s="72" t="inlineStr">
        <is>
          <t>72057594037936784</t>
        </is>
      </c>
      <c r="F39" t="inlineStr">
        <is>
          <t>/composition/layers/35/clips/1/connect</t>
        </is>
      </c>
      <c r="G39" t="inlineStr">
        <is>
          <t>/composition/layers/35/clips/1/connect</t>
        </is>
      </c>
      <c r="H39" t="inlineStr">
        <is>
          <t>/composition/layers/35/clips/1/connected</t>
        </is>
      </c>
      <c r="I39" t="inlineStr">
        <is>
          <t>APC40 mkII</t>
        </is>
      </c>
      <c r="J39" s="71" t="n">
        <v>21</v>
      </c>
      <c r="K39" s="48" t="inlineStr">
        <is>
          <t>#23c552ff</t>
        </is>
      </c>
      <c r="L39" s="74" t="n">
        <v>0.1653543307086614</v>
      </c>
      <c r="M39" t="n">
        <v>1</v>
      </c>
      <c r="N39" t="inlineStr">
        <is>
          <t>PASS</t>
        </is>
      </c>
    </row>
    <row r="40">
      <c r="A40" t="n">
        <v>36</v>
      </c>
      <c r="B40" t="inlineStr">
        <is>
          <t>G4-1</t>
        </is>
      </c>
      <c r="C40" t="inlineStr">
        <is>
          <t>grid</t>
        </is>
      </c>
      <c r="D40" t="inlineStr">
        <is>
          <t>N35/C1</t>
        </is>
      </c>
      <c r="E40" s="72" t="inlineStr">
        <is>
          <t>72057594037937040</t>
        </is>
      </c>
      <c r="F40" t="inlineStr">
        <is>
          <t>/composition/layers/36/clips/1/connect</t>
        </is>
      </c>
      <c r="G40" t="inlineStr">
        <is>
          <t>/composition/layers/36/clips/1/connect</t>
        </is>
      </c>
      <c r="H40" t="inlineStr">
        <is>
          <t>/composition/layers/36/clips/1/connected</t>
        </is>
      </c>
      <c r="I40" t="inlineStr">
        <is>
          <t>APC40 mkII</t>
        </is>
      </c>
      <c r="J40" s="71" t="n">
        <v>5</v>
      </c>
      <c r="K40" s="51" t="inlineStr">
        <is>
          <t>#e23b3bff</t>
        </is>
      </c>
      <c r="L40" s="74" t="n">
        <v>0.03937007874015748</v>
      </c>
      <c r="M40" t="n">
        <v>1</v>
      </c>
      <c r="N40" t="inlineStr">
        <is>
          <t>PASS</t>
        </is>
      </c>
    </row>
    <row r="41">
      <c r="A41" t="n">
        <v>37</v>
      </c>
      <c r="B41" t="inlineStr">
        <is>
          <t>G5-1</t>
        </is>
      </c>
      <c r="C41" t="inlineStr">
        <is>
          <t>grid</t>
        </is>
      </c>
      <c r="D41" t="inlineStr">
        <is>
          <t>N36/C1</t>
        </is>
      </c>
      <c r="E41" s="72" t="inlineStr">
        <is>
          <t>72057594037937296</t>
        </is>
      </c>
      <c r="F41" t="inlineStr">
        <is>
          <t>/composition/layers/37/clips/1/connect</t>
        </is>
      </c>
      <c r="G41" t="inlineStr">
        <is>
          <t>/composition/layers/37/clips/1/connect</t>
        </is>
      </c>
      <c r="H41" t="inlineStr">
        <is>
          <t>/composition/layers/37/clips/1/connected</t>
        </is>
      </c>
      <c r="I41" t="inlineStr">
        <is>
          <t>APC40 mkII</t>
        </is>
      </c>
      <c r="J41" s="71" t="n">
        <v>9</v>
      </c>
      <c r="K41" s="54" t="inlineStr">
        <is>
          <t>#f08a24ff</t>
        </is>
      </c>
      <c r="L41" s="74" t="n">
        <v>0.07086614173228346</v>
      </c>
      <c r="M41" t="n">
        <v>1</v>
      </c>
      <c r="N41" t="inlineStr">
        <is>
          <t>PASS</t>
        </is>
      </c>
    </row>
    <row r="42">
      <c r="A42" t="n">
        <v>38</v>
      </c>
      <c r="B42" t="inlineStr">
        <is>
          <t>G6-1</t>
        </is>
      </c>
      <c r="C42" t="inlineStr">
        <is>
          <t>grid</t>
        </is>
      </c>
      <c r="D42" t="inlineStr">
        <is>
          <t>N37/C1</t>
        </is>
      </c>
      <c r="E42" s="72" t="inlineStr">
        <is>
          <t>72057594037937552</t>
        </is>
      </c>
      <c r="F42" t="inlineStr">
        <is>
          <t>/composition/layers/38/clips/1/connect</t>
        </is>
      </c>
      <c r="G42" t="inlineStr">
        <is>
          <t>/composition/layers/38/clips/1/connect</t>
        </is>
      </c>
      <c r="H42" t="inlineStr">
        <is>
          <t>/composition/layers/38/clips/1/connected</t>
        </is>
      </c>
      <c r="I42" t="inlineStr">
        <is>
          <t>APC40 mkII</t>
        </is>
      </c>
      <c r="J42" s="71" t="n">
        <v>49</v>
      </c>
      <c r="K42" s="57" t="inlineStr">
        <is>
          <t>#7a3fc0ff</t>
        </is>
      </c>
      <c r="L42" s="74" t="n">
        <v>0.3858267716535433</v>
      </c>
      <c r="M42" t="n">
        <v>1</v>
      </c>
      <c r="N42" t="inlineStr">
        <is>
          <t>PASS</t>
        </is>
      </c>
    </row>
    <row r="43">
      <c r="A43" t="n">
        <v>39</v>
      </c>
      <c r="B43" t="inlineStr">
        <is>
          <t>G7-1</t>
        </is>
      </c>
      <c r="C43" t="inlineStr">
        <is>
          <t>grid</t>
        </is>
      </c>
      <c r="D43" t="inlineStr">
        <is>
          <t>N38/C1</t>
        </is>
      </c>
      <c r="E43" s="72" t="inlineStr">
        <is>
          <t>72057594037937808</t>
        </is>
      </c>
      <c r="F43" t="inlineStr">
        <is>
          <t>/composition/layers/39/clips/1/connect</t>
        </is>
      </c>
      <c r="G43" t="inlineStr">
        <is>
          <t>/composition/layers/39/clips/1/connect</t>
        </is>
      </c>
      <c r="H43" t="inlineStr">
        <is>
          <t>/composition/layers/39/clips/1/connected</t>
        </is>
      </c>
      <c r="I43" t="inlineStr">
        <is>
          <t>APC40 mkII</t>
        </is>
      </c>
      <c r="J43" s="71" t="n">
        <v>53</v>
      </c>
      <c r="K43" s="60" t="inlineStr">
        <is>
          <t>#c81e9aff</t>
        </is>
      </c>
      <c r="L43" s="74" t="n">
        <v>0.4173228346456693</v>
      </c>
      <c r="M43" t="n">
        <v>1</v>
      </c>
      <c r="N43" t="inlineStr">
        <is>
          <t>PASS</t>
        </is>
      </c>
    </row>
    <row r="44">
      <c r="A44" t="n">
        <v>40</v>
      </c>
      <c r="B44" t="inlineStr">
        <is>
          <t>G8-1</t>
        </is>
      </c>
      <c r="C44" t="inlineStr">
        <is>
          <t>grid</t>
        </is>
      </c>
      <c r="D44" t="inlineStr">
        <is>
          <t>N39/C1</t>
        </is>
      </c>
      <c r="E44" s="72" t="inlineStr">
        <is>
          <t>72057594037938064</t>
        </is>
      </c>
      <c r="F44" t="inlineStr">
        <is>
          <t>/composition/layers/40/clips/1/connect</t>
        </is>
      </c>
      <c r="G44" t="inlineStr">
        <is>
          <t>/composition/layers/40/clips/1/connect</t>
        </is>
      </c>
      <c r="H44" t="inlineStr">
        <is>
          <t>/composition/layers/40/clips/1/connected</t>
        </is>
      </c>
      <c r="I44" t="inlineStr">
        <is>
          <t>APC40 mkII</t>
        </is>
      </c>
      <c r="J44" s="71" t="n">
        <v>3</v>
      </c>
      <c r="K44" s="63" t="inlineStr">
        <is>
          <t>#e6e6e6ff</t>
        </is>
      </c>
      <c r="L44" s="74" t="n">
        <v>0.02362204724409449</v>
      </c>
      <c r="M44" t="n">
        <v>1</v>
      </c>
      <c r="N44" t="inlineStr">
        <is>
          <t>PASS</t>
        </is>
      </c>
    </row>
    <row r="45">
      <c r="A45" t="n">
        <v>41</v>
      </c>
      <c r="B45" t="inlineStr">
        <is>
          <t>SCENE1</t>
        </is>
      </c>
      <c r="C45" t="inlineStr">
        <is>
          <t>scene</t>
        </is>
      </c>
      <c r="D45" t="inlineStr">
        <is>
          <t>N82/C1</t>
        </is>
      </c>
      <c r="E45" s="72" t="inlineStr">
        <is>
          <t>72057594037949072</t>
        </is>
      </c>
      <c r="F45" t="inlineStr">
        <is>
          <t>/composition/layers/41/clips/1/connect</t>
        </is>
      </c>
      <c r="G45" t="inlineStr">
        <is>
          <t>/composition/layers/41/clips/1/connect</t>
        </is>
      </c>
      <c r="H45" t="inlineStr">
        <is>
          <t>/composition/layers/41/clips/1/connected</t>
        </is>
      </c>
      <c r="I45" t="inlineStr">
        <is>
          <t>APC40 mkII</t>
        </is>
      </c>
      <c r="J45" s="71" t="n">
        <v>21</v>
      </c>
      <c r="K45" s="48" t="inlineStr">
        <is>
          <t>#23c552ff</t>
        </is>
      </c>
      <c r="L45" s="74" t="n">
        <v>0.1653543307086614</v>
      </c>
      <c r="M45" t="n">
        <v>1</v>
      </c>
      <c r="N45" t="inlineStr">
        <is>
          <t>PASS</t>
        </is>
      </c>
    </row>
    <row r="46">
      <c r="A46" t="n">
        <v>42</v>
      </c>
      <c r="B46" t="inlineStr">
        <is>
          <t>SCENE2</t>
        </is>
      </c>
      <c r="C46" t="inlineStr">
        <is>
          <t>scene</t>
        </is>
      </c>
      <c r="D46" t="inlineStr">
        <is>
          <t>N83/C1</t>
        </is>
      </c>
      <c r="E46" s="72" t="inlineStr">
        <is>
          <t>72057594037949328</t>
        </is>
      </c>
      <c r="F46" t="inlineStr">
        <is>
          <t>/composition/layers/42/clips/1/connect</t>
        </is>
      </c>
      <c r="G46" t="inlineStr">
        <is>
          <t>/composition/layers/42/clips/1/connect</t>
        </is>
      </c>
      <c r="H46" t="inlineStr">
        <is>
          <t>/composition/layers/42/clips/1/connected</t>
        </is>
      </c>
      <c r="I46" t="inlineStr">
        <is>
          <t>APC40 mkII</t>
        </is>
      </c>
      <c r="J46" s="71" t="n">
        <v>21</v>
      </c>
      <c r="K46" s="48" t="inlineStr">
        <is>
          <t>#23c552ff</t>
        </is>
      </c>
      <c r="L46" s="74" t="n">
        <v>0.1653543307086614</v>
      </c>
      <c r="M46" t="n">
        <v>1</v>
      </c>
      <c r="N46" t="inlineStr">
        <is>
          <t>PASS</t>
        </is>
      </c>
    </row>
    <row r="47">
      <c r="A47" t="n">
        <v>43</v>
      </c>
      <c r="B47" t="inlineStr">
        <is>
          <t>SCENE3</t>
        </is>
      </c>
      <c r="C47" t="inlineStr">
        <is>
          <t>scene</t>
        </is>
      </c>
      <c r="D47" t="inlineStr">
        <is>
          <t>N84/C1</t>
        </is>
      </c>
      <c r="E47" s="72" t="inlineStr">
        <is>
          <t>72057594037949584</t>
        </is>
      </c>
      <c r="F47" t="inlineStr">
        <is>
          <t>/composition/layers/43/clips/1/connect</t>
        </is>
      </c>
      <c r="G47" t="inlineStr">
        <is>
          <t>/composition/layers/43/clips/1/connect</t>
        </is>
      </c>
      <c r="H47" t="inlineStr">
        <is>
          <t>/composition/layers/43/clips/1/connected</t>
        </is>
      </c>
      <c r="I47" t="inlineStr">
        <is>
          <t>APC40 mkII</t>
        </is>
      </c>
      <c r="J47" s="71" t="n">
        <v>21</v>
      </c>
      <c r="K47" s="48" t="inlineStr">
        <is>
          <t>#23c552ff</t>
        </is>
      </c>
      <c r="L47" s="74" t="n">
        <v>0.1653543307086614</v>
      </c>
      <c r="M47" t="n">
        <v>1</v>
      </c>
      <c r="N47" t="inlineStr">
        <is>
          <t>PASS</t>
        </is>
      </c>
    </row>
    <row r="48">
      <c r="A48" t="n">
        <v>44</v>
      </c>
      <c r="B48" t="inlineStr">
        <is>
          <t>SCENE4</t>
        </is>
      </c>
      <c r="C48" t="inlineStr">
        <is>
          <t>scene</t>
        </is>
      </c>
      <c r="D48" t="inlineStr">
        <is>
          <t>N85/C1</t>
        </is>
      </c>
      <c r="E48" s="72" t="inlineStr">
        <is>
          <t>72057594037949840</t>
        </is>
      </c>
      <c r="F48" t="inlineStr">
        <is>
          <t>/composition/layers/44/clips/1/connect</t>
        </is>
      </c>
      <c r="G48" t="inlineStr">
        <is>
          <t>/composition/layers/44/clips/1/connect</t>
        </is>
      </c>
      <c r="H48" t="inlineStr">
        <is>
          <t>/composition/layers/44/clips/1/connected</t>
        </is>
      </c>
      <c r="I48" t="inlineStr">
        <is>
          <t>APC40 mkII</t>
        </is>
      </c>
      <c r="J48" s="71" t="n">
        <v>21</v>
      </c>
      <c r="K48" s="48" t="inlineStr">
        <is>
          <t>#23c552ff</t>
        </is>
      </c>
      <c r="L48" s="74" t="n">
        <v>0.1653543307086614</v>
      </c>
      <c r="M48" t="n">
        <v>1</v>
      </c>
      <c r="N48" t="inlineStr">
        <is>
          <t>PASS</t>
        </is>
      </c>
    </row>
    <row r="49">
      <c r="A49" t="n">
        <v>45</v>
      </c>
      <c r="B49" t="inlineStr">
        <is>
          <t>SCENE5</t>
        </is>
      </c>
      <c r="C49" t="inlineStr">
        <is>
          <t>scene</t>
        </is>
      </c>
      <c r="D49" t="inlineStr">
        <is>
          <t>N86/C1</t>
        </is>
      </c>
      <c r="E49" s="72" t="inlineStr">
        <is>
          <t>72057594037950096</t>
        </is>
      </c>
      <c r="F49" t="inlineStr">
        <is>
          <t>/composition/layers/45/clips/1/connect</t>
        </is>
      </c>
      <c r="G49" t="inlineStr">
        <is>
          <t>/composition/layers/45/clips/1/connect</t>
        </is>
      </c>
      <c r="H49" t="inlineStr">
        <is>
          <t>/composition/layers/45/clips/1/connected</t>
        </is>
      </c>
      <c r="I49" t="inlineStr">
        <is>
          <t>APC40 mkII</t>
        </is>
      </c>
      <c r="J49" s="71" t="n">
        <v>21</v>
      </c>
      <c r="K49" s="48" t="inlineStr">
        <is>
          <t>#23c552ff</t>
        </is>
      </c>
      <c r="L49" s="74" t="n">
        <v>0.1653543307086614</v>
      </c>
      <c r="M49" t="n">
        <v>1</v>
      </c>
      <c r="N49" t="inlineStr">
        <is>
          <t>PASS</t>
        </is>
      </c>
    </row>
    <row r="50">
      <c r="A50" t="n">
        <v>46</v>
      </c>
      <c r="B50" t="inlineStr">
        <is>
          <t>STOP1</t>
        </is>
      </c>
      <c r="C50" t="inlineStr">
        <is>
          <t>clip_stop</t>
        </is>
      </c>
      <c r="D50" t="inlineStr">
        <is>
          <t>N52/C1</t>
        </is>
      </c>
      <c r="E50" s="72" t="inlineStr">
        <is>
          <t>72057594037941392</t>
        </is>
      </c>
      <c r="F50" t="inlineStr">
        <is>
          <t>/composition/layers/46/clips/1/connect</t>
        </is>
      </c>
      <c r="G50" t="inlineStr">
        <is>
          <t>/composition/layers/46/clips/1/connect</t>
        </is>
      </c>
      <c r="H50" t="inlineStr">
        <is>
          <t>/composition/layers/46/clips/1/connected</t>
        </is>
      </c>
      <c r="I50" t="inlineStr">
        <is>
          <t>APC40 mkII</t>
        </is>
      </c>
      <c r="J50" s="71" t="n">
        <v>5</v>
      </c>
      <c r="K50" s="54" t="inlineStr">
        <is>
          <t>#f08a24ff</t>
        </is>
      </c>
      <c r="L50" s="74" t="n">
        <v>0.03937007874015748</v>
      </c>
      <c r="M50" t="n">
        <v>1</v>
      </c>
      <c r="N50" t="inlineStr">
        <is>
          <t>PASS</t>
        </is>
      </c>
    </row>
    <row r="51">
      <c r="A51" t="n">
        <v>47</v>
      </c>
      <c r="B51" t="inlineStr">
        <is>
          <t>STOP2</t>
        </is>
      </c>
      <c r="C51" t="inlineStr">
        <is>
          <t>clip_stop</t>
        </is>
      </c>
      <c r="D51" t="inlineStr">
        <is>
          <t>N52/C2</t>
        </is>
      </c>
      <c r="E51" s="72" t="inlineStr">
        <is>
          <t>72057594037941393</t>
        </is>
      </c>
      <c r="F51" t="inlineStr">
        <is>
          <t>/composition/layers/47/clips/1/connect</t>
        </is>
      </c>
      <c r="G51" t="inlineStr">
        <is>
          <t>/composition/layers/47/clips/1/connect</t>
        </is>
      </c>
      <c r="H51" t="inlineStr">
        <is>
          <t>/composition/layers/47/clips/1/connected</t>
        </is>
      </c>
      <c r="I51" t="inlineStr">
        <is>
          <t>APC40 mkII</t>
        </is>
      </c>
      <c r="J51" s="71" t="n">
        <v>5</v>
      </c>
      <c r="K51" s="54" t="inlineStr">
        <is>
          <t>#f08a24ff</t>
        </is>
      </c>
      <c r="L51" s="74" t="n">
        <v>0.03937007874015748</v>
      </c>
      <c r="M51" t="n">
        <v>1</v>
      </c>
      <c r="N51" t="inlineStr">
        <is>
          <t>PASS</t>
        </is>
      </c>
    </row>
    <row r="52">
      <c r="A52" t="n">
        <v>48</v>
      </c>
      <c r="B52" t="inlineStr">
        <is>
          <t>STOP3</t>
        </is>
      </c>
      <c r="C52" t="inlineStr">
        <is>
          <t>clip_stop</t>
        </is>
      </c>
      <c r="D52" t="inlineStr">
        <is>
          <t>N52/C3</t>
        </is>
      </c>
      <c r="E52" s="72" t="inlineStr">
        <is>
          <t>72057594037941394</t>
        </is>
      </c>
      <c r="F52" t="inlineStr">
        <is>
          <t>/composition/layers/48/clips/1/connect</t>
        </is>
      </c>
      <c r="G52" t="inlineStr">
        <is>
          <t>/composition/layers/48/clips/1/connect</t>
        </is>
      </c>
      <c r="H52" t="inlineStr">
        <is>
          <t>/composition/layers/48/clips/1/connected</t>
        </is>
      </c>
      <c r="I52" t="inlineStr">
        <is>
          <t>APC40 mkII</t>
        </is>
      </c>
      <c r="J52" s="71" t="n">
        <v>5</v>
      </c>
      <c r="K52" s="54" t="inlineStr">
        <is>
          <t>#f08a24ff</t>
        </is>
      </c>
      <c r="L52" s="74" t="n">
        <v>0.03937007874015748</v>
      </c>
      <c r="M52" t="n">
        <v>1</v>
      </c>
      <c r="N52" t="inlineStr">
        <is>
          <t>PASS</t>
        </is>
      </c>
    </row>
    <row r="53">
      <c r="A53" t="n">
        <v>49</v>
      </c>
      <c r="B53" t="inlineStr">
        <is>
          <t>STOP4</t>
        </is>
      </c>
      <c r="C53" t="inlineStr">
        <is>
          <t>clip_stop</t>
        </is>
      </c>
      <c r="D53" t="inlineStr">
        <is>
          <t>N52/C4</t>
        </is>
      </c>
      <c r="E53" s="72" t="inlineStr">
        <is>
          <t>72057594037941395</t>
        </is>
      </c>
      <c r="F53" t="inlineStr">
        <is>
          <t>/composition/layers/49/clips/1/connect</t>
        </is>
      </c>
      <c r="G53" t="inlineStr">
        <is>
          <t>/composition/layers/49/clips/1/connect</t>
        </is>
      </c>
      <c r="H53" t="inlineStr">
        <is>
          <t>/composition/layers/49/clips/1/connected</t>
        </is>
      </c>
      <c r="I53" t="inlineStr">
        <is>
          <t>APC40 mkII</t>
        </is>
      </c>
      <c r="J53" s="71" t="n">
        <v>5</v>
      </c>
      <c r="K53" s="54" t="inlineStr">
        <is>
          <t>#f08a24ff</t>
        </is>
      </c>
      <c r="L53" s="74" t="n">
        <v>0.03937007874015748</v>
      </c>
      <c r="M53" t="n">
        <v>1</v>
      </c>
      <c r="N53" t="inlineStr">
        <is>
          <t>PASS</t>
        </is>
      </c>
    </row>
    <row r="54">
      <c r="A54" t="n">
        <v>50</v>
      </c>
      <c r="B54" t="inlineStr">
        <is>
          <t>STOP5</t>
        </is>
      </c>
      <c r="C54" t="inlineStr">
        <is>
          <t>clip_stop</t>
        </is>
      </c>
      <c r="D54" t="inlineStr">
        <is>
          <t>N52/C5</t>
        </is>
      </c>
      <c r="E54" s="72" t="inlineStr">
        <is>
          <t>72057594037941396</t>
        </is>
      </c>
      <c r="F54" t="inlineStr">
        <is>
          <t>/composition/layers/50/clips/1/connect</t>
        </is>
      </c>
      <c r="G54" t="inlineStr">
        <is>
          <t>/composition/layers/50/clips/1/connect</t>
        </is>
      </c>
      <c r="H54" t="inlineStr">
        <is>
          <t>/composition/layers/50/clips/1/connected</t>
        </is>
      </c>
      <c r="I54" t="inlineStr">
        <is>
          <t>APC40 mkII</t>
        </is>
      </c>
      <c r="J54" s="71" t="n">
        <v>5</v>
      </c>
      <c r="K54" s="54" t="inlineStr">
        <is>
          <t>#f08a24ff</t>
        </is>
      </c>
      <c r="L54" s="74" t="n">
        <v>0.03937007874015748</v>
      </c>
      <c r="M54" t="n">
        <v>1</v>
      </c>
      <c r="N54" t="inlineStr">
        <is>
          <t>PASS</t>
        </is>
      </c>
    </row>
    <row r="55">
      <c r="A55" t="n">
        <v>51</v>
      </c>
      <c r="B55" t="inlineStr">
        <is>
          <t>STOP6</t>
        </is>
      </c>
      <c r="C55" t="inlineStr">
        <is>
          <t>clip_stop</t>
        </is>
      </c>
      <c r="D55" t="inlineStr">
        <is>
          <t>N52/C6</t>
        </is>
      </c>
      <c r="E55" s="72" t="inlineStr">
        <is>
          <t>72057594037941397</t>
        </is>
      </c>
      <c r="F55" t="inlineStr">
        <is>
          <t>/composition/layers/51/clips/1/connect</t>
        </is>
      </c>
      <c r="G55" t="inlineStr">
        <is>
          <t>/composition/layers/51/clips/1/connect</t>
        </is>
      </c>
      <c r="H55" t="inlineStr">
        <is>
          <t>/composition/layers/51/clips/1/connected</t>
        </is>
      </c>
      <c r="I55" t="inlineStr">
        <is>
          <t>APC40 mkII</t>
        </is>
      </c>
      <c r="J55" s="71" t="n">
        <v>5</v>
      </c>
      <c r="K55" s="54" t="inlineStr">
        <is>
          <t>#f08a24ff</t>
        </is>
      </c>
      <c r="L55" s="74" t="n">
        <v>0.03937007874015748</v>
      </c>
      <c r="M55" t="n">
        <v>1</v>
      </c>
      <c r="N55" t="inlineStr">
        <is>
          <t>PASS</t>
        </is>
      </c>
    </row>
    <row r="56">
      <c r="A56" t="n">
        <v>52</v>
      </c>
      <c r="B56" t="inlineStr">
        <is>
          <t>STOP7</t>
        </is>
      </c>
      <c r="C56" t="inlineStr">
        <is>
          <t>clip_stop</t>
        </is>
      </c>
      <c r="D56" t="inlineStr">
        <is>
          <t>N52/C7</t>
        </is>
      </c>
      <c r="E56" s="72" t="inlineStr">
        <is>
          <t>72057594037941398</t>
        </is>
      </c>
      <c r="F56" t="inlineStr">
        <is>
          <t>/composition/layers/52/clips/1/connect</t>
        </is>
      </c>
      <c r="G56" t="inlineStr">
        <is>
          <t>/composition/layers/52/clips/1/connect</t>
        </is>
      </c>
      <c r="H56" t="inlineStr">
        <is>
          <t>/composition/layers/52/clips/1/connected</t>
        </is>
      </c>
      <c r="I56" t="inlineStr">
        <is>
          <t>APC40 mkII</t>
        </is>
      </c>
      <c r="J56" s="71" t="n">
        <v>5</v>
      </c>
      <c r="K56" s="54" t="inlineStr">
        <is>
          <t>#f08a24ff</t>
        </is>
      </c>
      <c r="L56" s="74" t="n">
        <v>0.03937007874015748</v>
      </c>
      <c r="M56" t="n">
        <v>1</v>
      </c>
      <c r="N56" t="inlineStr">
        <is>
          <t>PASS</t>
        </is>
      </c>
    </row>
    <row r="57">
      <c r="A57" t="n">
        <v>53</v>
      </c>
      <c r="B57" t="inlineStr">
        <is>
          <t>STOP8</t>
        </is>
      </c>
      <c r="C57" t="inlineStr">
        <is>
          <t>clip_stop</t>
        </is>
      </c>
      <c r="D57" t="inlineStr">
        <is>
          <t>N52/C8</t>
        </is>
      </c>
      <c r="E57" s="72" t="inlineStr">
        <is>
          <t>72057594037941399</t>
        </is>
      </c>
      <c r="F57" t="inlineStr">
        <is>
          <t>/composition/layers/53/clips/1/connect</t>
        </is>
      </c>
      <c r="G57" t="inlineStr">
        <is>
          <t>/composition/layers/53/clips/1/connect</t>
        </is>
      </c>
      <c r="H57" t="inlineStr">
        <is>
          <t>/composition/layers/53/clips/1/connected</t>
        </is>
      </c>
      <c r="I57" t="inlineStr">
        <is>
          <t>APC40 mkII</t>
        </is>
      </c>
      <c r="J57" s="71" t="n">
        <v>5</v>
      </c>
      <c r="K57" s="54" t="inlineStr">
        <is>
          <t>#f08a24ff</t>
        </is>
      </c>
      <c r="L57" s="74" t="n">
        <v>0.03937007874015748</v>
      </c>
      <c r="M57" t="n">
        <v>1</v>
      </c>
      <c r="N57" t="inlineStr">
        <is>
          <t>PASS</t>
        </is>
      </c>
    </row>
    <row r="58">
      <c r="A58" t="n">
        <v>54</v>
      </c>
      <c r="B58" t="inlineStr">
        <is>
          <t>SEL1</t>
        </is>
      </c>
      <c r="C58" t="inlineStr">
        <is>
          <t>track_select</t>
        </is>
      </c>
      <c r="D58" t="inlineStr">
        <is>
          <t>N51/C1</t>
        </is>
      </c>
      <c r="E58" s="72" t="inlineStr">
        <is>
          <t>72057594037941136</t>
        </is>
      </c>
      <c r="F58" t="inlineStr">
        <is>
          <t>/composition/layers/54/clips/1/connect</t>
        </is>
      </c>
      <c r="G58" t="inlineStr">
        <is>
          <t>/composition/layers/54/clips/1/connect</t>
        </is>
      </c>
      <c r="H58" t="inlineStr">
        <is>
          <t>/composition/layers/54/clips/1/connected</t>
        </is>
      </c>
      <c r="I58" t="inlineStr">
        <is>
          <t>APC40 mkII</t>
        </is>
      </c>
      <c r="J58" s="71" t="n">
        <v>45</v>
      </c>
      <c r="K58" s="54" t="inlineStr">
        <is>
          <t>#f08a24ff</t>
        </is>
      </c>
      <c r="L58" s="74" t="n">
        <v>0.3543307086614173</v>
      </c>
      <c r="M58" t="n">
        <v>1</v>
      </c>
      <c r="N58" t="inlineStr">
        <is>
          <t>PASS</t>
        </is>
      </c>
    </row>
    <row r="59">
      <c r="A59" t="n">
        <v>55</v>
      </c>
      <c r="B59" t="inlineStr">
        <is>
          <t>SEL2</t>
        </is>
      </c>
      <c r="C59" t="inlineStr">
        <is>
          <t>track_select</t>
        </is>
      </c>
      <c r="D59" t="inlineStr">
        <is>
          <t>N51/C2</t>
        </is>
      </c>
      <c r="E59" s="72" t="inlineStr">
        <is>
          <t>72057594037941137</t>
        </is>
      </c>
      <c r="F59" t="inlineStr">
        <is>
          <t>/composition/layers/55/clips/1/connect</t>
        </is>
      </c>
      <c r="G59" t="inlineStr">
        <is>
          <t>/composition/layers/55/clips/1/connect</t>
        </is>
      </c>
      <c r="H59" t="inlineStr">
        <is>
          <t>/composition/layers/55/clips/1/connected</t>
        </is>
      </c>
      <c r="I59" t="inlineStr">
        <is>
          <t>APC40 mkII</t>
        </is>
      </c>
      <c r="J59" s="71" t="n">
        <v>45</v>
      </c>
      <c r="K59" s="54" t="inlineStr">
        <is>
          <t>#f08a24ff</t>
        </is>
      </c>
      <c r="L59" s="74" t="n">
        <v>0.3543307086614173</v>
      </c>
      <c r="M59" t="n">
        <v>1</v>
      </c>
      <c r="N59" t="inlineStr">
        <is>
          <t>PASS</t>
        </is>
      </c>
    </row>
    <row r="60">
      <c r="A60" t="n">
        <v>56</v>
      </c>
      <c r="B60" t="inlineStr">
        <is>
          <t>SEL3</t>
        </is>
      </c>
      <c r="C60" t="inlineStr">
        <is>
          <t>track_select</t>
        </is>
      </c>
      <c r="D60" t="inlineStr">
        <is>
          <t>N51/C3</t>
        </is>
      </c>
      <c r="E60" s="72" t="inlineStr">
        <is>
          <t>72057594037941138</t>
        </is>
      </c>
      <c r="F60" t="inlineStr">
        <is>
          <t>/composition/layers/56/clips/1/connect</t>
        </is>
      </c>
      <c r="G60" t="inlineStr">
        <is>
          <t>/composition/layers/56/clips/1/connect</t>
        </is>
      </c>
      <c r="H60" t="inlineStr">
        <is>
          <t>/composition/layers/56/clips/1/connected</t>
        </is>
      </c>
      <c r="I60" t="inlineStr">
        <is>
          <t>APC40 mkII</t>
        </is>
      </c>
      <c r="J60" s="71" t="n">
        <v>45</v>
      </c>
      <c r="K60" s="54" t="inlineStr">
        <is>
          <t>#f08a24ff</t>
        </is>
      </c>
      <c r="L60" s="74" t="n">
        <v>0.3543307086614173</v>
      </c>
      <c r="M60" t="n">
        <v>1</v>
      </c>
      <c r="N60" t="inlineStr">
        <is>
          <t>PASS</t>
        </is>
      </c>
    </row>
    <row r="61">
      <c r="A61" t="n">
        <v>57</v>
      </c>
      <c r="B61" t="inlineStr">
        <is>
          <t>SEL4</t>
        </is>
      </c>
      <c r="C61" t="inlineStr">
        <is>
          <t>track_select</t>
        </is>
      </c>
      <c r="D61" t="inlineStr">
        <is>
          <t>N51/C4</t>
        </is>
      </c>
      <c r="E61" s="72" t="inlineStr">
        <is>
          <t>72057594037941139</t>
        </is>
      </c>
      <c r="F61" t="inlineStr">
        <is>
          <t>/composition/layers/57/clips/1/connect</t>
        </is>
      </c>
      <c r="G61" t="inlineStr">
        <is>
          <t>/composition/layers/57/clips/1/connect</t>
        </is>
      </c>
      <c r="H61" t="inlineStr">
        <is>
          <t>/composition/layers/57/clips/1/connected</t>
        </is>
      </c>
      <c r="I61" t="inlineStr">
        <is>
          <t>APC40 mkII</t>
        </is>
      </c>
      <c r="J61" s="71" t="n">
        <v>45</v>
      </c>
      <c r="K61" s="54" t="inlineStr">
        <is>
          <t>#f08a24ff</t>
        </is>
      </c>
      <c r="L61" s="74" t="n">
        <v>0.3543307086614173</v>
      </c>
      <c r="M61" t="n">
        <v>1</v>
      </c>
      <c r="N61" t="inlineStr">
        <is>
          <t>PASS</t>
        </is>
      </c>
    </row>
    <row r="62">
      <c r="A62" t="n">
        <v>58</v>
      </c>
      <c r="B62" t="inlineStr">
        <is>
          <t>SEL5</t>
        </is>
      </c>
      <c r="C62" t="inlineStr">
        <is>
          <t>track_select</t>
        </is>
      </c>
      <c r="D62" t="inlineStr">
        <is>
          <t>N51/C5</t>
        </is>
      </c>
      <c r="E62" s="72" t="inlineStr">
        <is>
          <t>72057594037941140</t>
        </is>
      </c>
      <c r="F62" t="inlineStr">
        <is>
          <t>/composition/layers/58/clips/1/connect</t>
        </is>
      </c>
      <c r="G62" t="inlineStr">
        <is>
          <t>/composition/layers/58/clips/1/connect</t>
        </is>
      </c>
      <c r="H62" t="inlineStr">
        <is>
          <t>/composition/layers/58/clips/1/connected</t>
        </is>
      </c>
      <c r="I62" t="inlineStr">
        <is>
          <t>APC40 mkII</t>
        </is>
      </c>
      <c r="J62" s="71" t="n">
        <v>45</v>
      </c>
      <c r="K62" s="54" t="inlineStr">
        <is>
          <t>#f08a24ff</t>
        </is>
      </c>
      <c r="L62" s="74" t="n">
        <v>0.3543307086614173</v>
      </c>
      <c r="M62" t="n">
        <v>1</v>
      </c>
      <c r="N62" t="inlineStr">
        <is>
          <t>PASS</t>
        </is>
      </c>
    </row>
    <row r="63">
      <c r="A63" t="n">
        <v>59</v>
      </c>
      <c r="B63" t="inlineStr">
        <is>
          <t>SEL6</t>
        </is>
      </c>
      <c r="C63" t="inlineStr">
        <is>
          <t>track_select</t>
        </is>
      </c>
      <c r="D63" t="inlineStr">
        <is>
          <t>N51/C6</t>
        </is>
      </c>
      <c r="E63" s="72" t="inlineStr">
        <is>
          <t>72057594037941141</t>
        </is>
      </c>
      <c r="F63" t="inlineStr">
        <is>
          <t>/composition/layers/59/clips/1/connect</t>
        </is>
      </c>
      <c r="G63" t="inlineStr">
        <is>
          <t>/composition/layers/59/clips/1/connect</t>
        </is>
      </c>
      <c r="H63" t="inlineStr">
        <is>
          <t>/composition/layers/59/clips/1/connected</t>
        </is>
      </c>
      <c r="I63" t="inlineStr">
        <is>
          <t>APC40 mkII</t>
        </is>
      </c>
      <c r="J63" s="71" t="n">
        <v>45</v>
      </c>
      <c r="K63" s="54" t="inlineStr">
        <is>
          <t>#f08a24ff</t>
        </is>
      </c>
      <c r="L63" s="74" t="n">
        <v>0.3543307086614173</v>
      </c>
      <c r="M63" t="n">
        <v>1</v>
      </c>
      <c r="N63" t="inlineStr">
        <is>
          <t>PASS</t>
        </is>
      </c>
    </row>
    <row r="64">
      <c r="A64" t="n">
        <v>60</v>
      </c>
      <c r="B64" t="inlineStr">
        <is>
          <t>SEL7</t>
        </is>
      </c>
      <c r="C64" t="inlineStr">
        <is>
          <t>track_select</t>
        </is>
      </c>
      <c r="D64" t="inlineStr">
        <is>
          <t>N51/C7</t>
        </is>
      </c>
      <c r="E64" s="72" t="inlineStr">
        <is>
          <t>72057594037941142</t>
        </is>
      </c>
      <c r="F64" t="inlineStr">
        <is>
          <t>/composition/layers/60/clips/1/connect</t>
        </is>
      </c>
      <c r="G64" t="inlineStr">
        <is>
          <t>/composition/layers/60/clips/1/connect</t>
        </is>
      </c>
      <c r="H64" t="inlineStr">
        <is>
          <t>/composition/layers/60/clips/1/connected</t>
        </is>
      </c>
      <c r="I64" t="inlineStr">
        <is>
          <t>APC40 mkII</t>
        </is>
      </c>
      <c r="J64" s="71" t="n">
        <v>45</v>
      </c>
      <c r="K64" s="54" t="inlineStr">
        <is>
          <t>#f08a24ff</t>
        </is>
      </c>
      <c r="L64" s="74" t="n">
        <v>0.3543307086614173</v>
      </c>
      <c r="M64" t="n">
        <v>1</v>
      </c>
      <c r="N64" t="inlineStr">
        <is>
          <t>PASS</t>
        </is>
      </c>
    </row>
    <row r="65">
      <c r="A65" t="n">
        <v>61</v>
      </c>
      <c r="B65" t="inlineStr">
        <is>
          <t>SEL8</t>
        </is>
      </c>
      <c r="C65" t="inlineStr">
        <is>
          <t>track_select</t>
        </is>
      </c>
      <c r="D65" t="inlineStr">
        <is>
          <t>N51/C8</t>
        </is>
      </c>
      <c r="E65" s="72" t="inlineStr">
        <is>
          <t>72057594037941143</t>
        </is>
      </c>
      <c r="F65" t="inlineStr">
        <is>
          <t>/composition/layers/61/clips/1/connect</t>
        </is>
      </c>
      <c r="G65" t="inlineStr">
        <is>
          <t>/composition/layers/61/clips/1/connect</t>
        </is>
      </c>
      <c r="H65" t="inlineStr">
        <is>
          <t>/composition/layers/61/clips/1/connected</t>
        </is>
      </c>
      <c r="I65" t="inlineStr">
        <is>
          <t>APC40 mkII</t>
        </is>
      </c>
      <c r="J65" s="71" t="n">
        <v>45</v>
      </c>
      <c r="K65" s="54" t="inlineStr">
        <is>
          <t>#f08a24ff</t>
        </is>
      </c>
      <c r="L65" s="74" t="n">
        <v>0.3543307086614173</v>
      </c>
      <c r="M65" t="n">
        <v>1</v>
      </c>
      <c r="N65" t="inlineStr">
        <is>
          <t>PASS</t>
        </is>
      </c>
    </row>
    <row r="66">
      <c r="A66" t="n">
        <v>62</v>
      </c>
      <c r="B66" t="inlineStr">
        <is>
          <t>●</t>
        </is>
      </c>
      <c r="C66" t="inlineStr">
        <is>
          <t>record_arm</t>
        </is>
      </c>
      <c r="D66" t="inlineStr">
        <is>
          <t>N48/C1</t>
        </is>
      </c>
      <c r="E66" s="72" t="inlineStr">
        <is>
          <t>72057594037940368</t>
        </is>
      </c>
      <c r="F66" t="inlineStr">
        <is>
          <t>/composition/layers/62/clips/1/connect</t>
        </is>
      </c>
      <c r="G66" t="inlineStr">
        <is>
          <t>/composition/layers/62/clips/1/connect</t>
        </is>
      </c>
      <c r="H66" t="inlineStr">
        <is>
          <t>/composition/layers/62/clips/1/connected</t>
        </is>
      </c>
      <c r="I66" t="inlineStr">
        <is>
          <t>APC40 mkII</t>
        </is>
      </c>
      <c r="J66" s="71" t="n">
        <v>5</v>
      </c>
      <c r="K66" s="51" t="inlineStr">
        <is>
          <t>#e23b3bff</t>
        </is>
      </c>
      <c r="L66" s="74" t="n">
        <v>0.03937007874015748</v>
      </c>
      <c r="M66" t="n">
        <v>1</v>
      </c>
      <c r="N66" t="inlineStr">
        <is>
          <t>PASS</t>
        </is>
      </c>
    </row>
    <row r="67">
      <c r="A67" t="n">
        <v>63</v>
      </c>
      <c r="B67" t="inlineStr">
        <is>
          <t>●</t>
        </is>
      </c>
      <c r="C67" t="inlineStr">
        <is>
          <t>record_arm</t>
        </is>
      </c>
      <c r="D67" t="inlineStr">
        <is>
          <t>N48/C2</t>
        </is>
      </c>
      <c r="E67" s="72" t="inlineStr">
        <is>
          <t>72057594037940369</t>
        </is>
      </c>
      <c r="F67" t="inlineStr">
        <is>
          <t>/composition/layers/63/clips/1/connect</t>
        </is>
      </c>
      <c r="G67" t="inlineStr">
        <is>
          <t>/composition/layers/63/clips/1/connect</t>
        </is>
      </c>
      <c r="H67" t="inlineStr">
        <is>
          <t>/composition/layers/63/clips/1/connected</t>
        </is>
      </c>
      <c r="I67" t="inlineStr">
        <is>
          <t>APC40 mkII</t>
        </is>
      </c>
      <c r="J67" s="71" t="n">
        <v>5</v>
      </c>
      <c r="K67" s="51" t="inlineStr">
        <is>
          <t>#e23b3bff</t>
        </is>
      </c>
      <c r="L67" s="74" t="n">
        <v>0.03937007874015748</v>
      </c>
      <c r="M67" t="n">
        <v>1</v>
      </c>
      <c r="N67" t="inlineStr">
        <is>
          <t>PASS</t>
        </is>
      </c>
    </row>
    <row r="68">
      <c r="A68" t="n">
        <v>64</v>
      </c>
      <c r="B68" t="inlineStr">
        <is>
          <t>●</t>
        </is>
      </c>
      <c r="C68" t="inlineStr">
        <is>
          <t>record_arm</t>
        </is>
      </c>
      <c r="D68" t="inlineStr">
        <is>
          <t>N48/C3</t>
        </is>
      </c>
      <c r="E68" s="72" t="inlineStr">
        <is>
          <t>72057594037940370</t>
        </is>
      </c>
      <c r="F68" t="inlineStr">
        <is>
          <t>/composition/layers/64/clips/1/connect</t>
        </is>
      </c>
      <c r="G68" t="inlineStr">
        <is>
          <t>/composition/layers/64/clips/1/connect</t>
        </is>
      </c>
      <c r="H68" t="inlineStr">
        <is>
          <t>/composition/layers/64/clips/1/connected</t>
        </is>
      </c>
      <c r="I68" t="inlineStr">
        <is>
          <t>APC40 mkII</t>
        </is>
      </c>
      <c r="J68" s="71" t="n">
        <v>5</v>
      </c>
      <c r="K68" s="51" t="inlineStr">
        <is>
          <t>#e23b3bff</t>
        </is>
      </c>
      <c r="L68" s="74" t="n">
        <v>0.03937007874015748</v>
      </c>
      <c r="M68" t="n">
        <v>1</v>
      </c>
      <c r="N68" t="inlineStr">
        <is>
          <t>PASS</t>
        </is>
      </c>
    </row>
    <row r="69">
      <c r="A69" t="n">
        <v>65</v>
      </c>
      <c r="B69" t="inlineStr">
        <is>
          <t>●</t>
        </is>
      </c>
      <c r="C69" t="inlineStr">
        <is>
          <t>record_arm</t>
        </is>
      </c>
      <c r="D69" t="inlineStr">
        <is>
          <t>N48/C4</t>
        </is>
      </c>
      <c r="E69" s="72" t="inlineStr">
        <is>
          <t>72057594037940371</t>
        </is>
      </c>
      <c r="F69" t="inlineStr">
        <is>
          <t>/composition/layers/65/clips/1/connect</t>
        </is>
      </c>
      <c r="G69" t="inlineStr">
        <is>
          <t>/composition/layers/65/clips/1/connect</t>
        </is>
      </c>
      <c r="H69" t="inlineStr">
        <is>
          <t>/composition/layers/65/clips/1/connected</t>
        </is>
      </c>
      <c r="I69" t="inlineStr">
        <is>
          <t>APC40 mkII</t>
        </is>
      </c>
      <c r="J69" s="71" t="n">
        <v>5</v>
      </c>
      <c r="K69" s="51" t="inlineStr">
        <is>
          <t>#e23b3bff</t>
        </is>
      </c>
      <c r="L69" s="74" t="n">
        <v>0.03937007874015748</v>
      </c>
      <c r="M69" t="n">
        <v>1</v>
      </c>
      <c r="N69" t="inlineStr">
        <is>
          <t>PASS</t>
        </is>
      </c>
    </row>
    <row r="70">
      <c r="A70" t="n">
        <v>66</v>
      </c>
      <c r="B70" t="inlineStr">
        <is>
          <t>●</t>
        </is>
      </c>
      <c r="C70" t="inlineStr">
        <is>
          <t>record_arm</t>
        </is>
      </c>
      <c r="D70" t="inlineStr">
        <is>
          <t>N48/C5</t>
        </is>
      </c>
      <c r="E70" s="72" t="inlineStr">
        <is>
          <t>72057594037940372</t>
        </is>
      </c>
      <c r="F70" t="inlineStr">
        <is>
          <t>/composition/layers/66/clips/1/connect</t>
        </is>
      </c>
      <c r="G70" t="inlineStr">
        <is>
          <t>/composition/layers/66/clips/1/connect</t>
        </is>
      </c>
      <c r="H70" t="inlineStr">
        <is>
          <t>/composition/layers/66/clips/1/connected</t>
        </is>
      </c>
      <c r="I70" t="inlineStr">
        <is>
          <t>APC40 mkII</t>
        </is>
      </c>
      <c r="J70" s="71" t="n">
        <v>5</v>
      </c>
      <c r="K70" s="51" t="inlineStr">
        <is>
          <t>#e23b3bff</t>
        </is>
      </c>
      <c r="L70" s="74" t="n">
        <v>0.03937007874015748</v>
      </c>
      <c r="M70" t="n">
        <v>1</v>
      </c>
      <c r="N70" t="inlineStr">
        <is>
          <t>PASS</t>
        </is>
      </c>
    </row>
    <row r="71">
      <c r="A71" t="n">
        <v>67</v>
      </c>
      <c r="B71" t="inlineStr">
        <is>
          <t>●</t>
        </is>
      </c>
      <c r="C71" t="inlineStr">
        <is>
          <t>record_arm</t>
        </is>
      </c>
      <c r="D71" t="inlineStr">
        <is>
          <t>N48/C6</t>
        </is>
      </c>
      <c r="E71" s="72" t="inlineStr">
        <is>
          <t>72057594037940373</t>
        </is>
      </c>
      <c r="F71" t="inlineStr">
        <is>
          <t>/composition/layers/67/clips/1/connect</t>
        </is>
      </c>
      <c r="G71" t="inlineStr">
        <is>
          <t>/composition/layers/67/clips/1/connect</t>
        </is>
      </c>
      <c r="H71" t="inlineStr">
        <is>
          <t>/composition/layers/67/clips/1/connected</t>
        </is>
      </c>
      <c r="I71" t="inlineStr">
        <is>
          <t>APC40 mkII</t>
        </is>
      </c>
      <c r="J71" s="71" t="n">
        <v>5</v>
      </c>
      <c r="K71" s="51" t="inlineStr">
        <is>
          <t>#e23b3bff</t>
        </is>
      </c>
      <c r="L71" s="74" t="n">
        <v>0.03937007874015748</v>
      </c>
      <c r="M71" t="n">
        <v>1</v>
      </c>
      <c r="N71" t="inlineStr">
        <is>
          <t>PASS</t>
        </is>
      </c>
    </row>
    <row r="72">
      <c r="A72" t="n">
        <v>68</v>
      </c>
      <c r="B72" t="inlineStr">
        <is>
          <t>●</t>
        </is>
      </c>
      <c r="C72" t="inlineStr">
        <is>
          <t>record_arm</t>
        </is>
      </c>
      <c r="D72" t="inlineStr">
        <is>
          <t>N48/C7</t>
        </is>
      </c>
      <c r="E72" s="72" t="inlineStr">
        <is>
          <t>72057594037940374</t>
        </is>
      </c>
      <c r="F72" t="inlineStr">
        <is>
          <t>/composition/layers/68/clips/1/connect</t>
        </is>
      </c>
      <c r="G72" t="inlineStr">
        <is>
          <t>/composition/layers/68/clips/1/connect</t>
        </is>
      </c>
      <c r="H72" t="inlineStr">
        <is>
          <t>/composition/layers/68/clips/1/connected</t>
        </is>
      </c>
      <c r="I72" t="inlineStr">
        <is>
          <t>APC40 mkII</t>
        </is>
      </c>
      <c r="J72" s="71" t="n">
        <v>5</v>
      </c>
      <c r="K72" s="51" t="inlineStr">
        <is>
          <t>#e23b3bff</t>
        </is>
      </c>
      <c r="L72" s="74" t="n">
        <v>0.03937007874015748</v>
      </c>
      <c r="M72" t="n">
        <v>1</v>
      </c>
      <c r="N72" t="inlineStr">
        <is>
          <t>PASS</t>
        </is>
      </c>
    </row>
    <row r="73">
      <c r="A73" t="n">
        <v>69</v>
      </c>
      <c r="B73" t="inlineStr">
        <is>
          <t>●</t>
        </is>
      </c>
      <c r="C73" t="inlineStr">
        <is>
          <t>record_arm</t>
        </is>
      </c>
      <c r="D73" t="inlineStr">
        <is>
          <t>N48/C8</t>
        </is>
      </c>
      <c r="E73" s="72" t="inlineStr">
        <is>
          <t>72057594037940375</t>
        </is>
      </c>
      <c r="F73" t="inlineStr">
        <is>
          <t>/composition/layers/69/clips/1/connect</t>
        </is>
      </c>
      <c r="G73" t="inlineStr">
        <is>
          <t>/composition/layers/69/clips/1/connect</t>
        </is>
      </c>
      <c r="H73" t="inlineStr">
        <is>
          <t>/composition/layers/69/clips/1/connected</t>
        </is>
      </c>
      <c r="I73" t="inlineStr">
        <is>
          <t>APC40 mkII</t>
        </is>
      </c>
      <c r="J73" s="71" t="n">
        <v>5</v>
      </c>
      <c r="K73" s="51" t="inlineStr">
        <is>
          <t>#e23b3bff</t>
        </is>
      </c>
      <c r="L73" s="74" t="n">
        <v>0.03937007874015748</v>
      </c>
      <c r="M73" t="n">
        <v>1</v>
      </c>
      <c r="N73" t="inlineStr">
        <is>
          <t>PASS</t>
        </is>
      </c>
    </row>
    <row r="74">
      <c r="A74" t="n">
        <v>70</v>
      </c>
      <c r="B74" t="inlineStr">
        <is>
          <t>S</t>
        </is>
      </c>
      <c r="C74" t="inlineStr">
        <is>
          <t>solo</t>
        </is>
      </c>
      <c r="D74" t="inlineStr">
        <is>
          <t>N49/C1</t>
        </is>
      </c>
      <c r="E74" s="72" t="inlineStr">
        <is>
          <t>72057594037940624</t>
        </is>
      </c>
      <c r="F74" t="inlineStr">
        <is>
          <t>/composition/layers/70/clips/1/connect</t>
        </is>
      </c>
      <c r="G74" t="inlineStr">
        <is>
          <t>/composition/layers/70/clips/1/connect</t>
        </is>
      </c>
      <c r="H74" t="inlineStr">
        <is>
          <t>/composition/layers/70/clips/1/connected</t>
        </is>
      </c>
      <c r="I74" t="inlineStr">
        <is>
          <t>APC40 mkII</t>
        </is>
      </c>
      <c r="J74" s="71" t="n">
        <v>127</v>
      </c>
      <c r="K74" s="42" t="inlineStr">
        <is>
          <t>#2b5bffff</t>
        </is>
      </c>
      <c r="L74" s="74" t="n">
        <v>1</v>
      </c>
      <c r="M74" t="n">
        <v>1</v>
      </c>
      <c r="N74" t="inlineStr">
        <is>
          <t>PASS</t>
        </is>
      </c>
    </row>
    <row r="75">
      <c r="A75" t="n">
        <v>71</v>
      </c>
      <c r="B75" t="inlineStr">
        <is>
          <t>S</t>
        </is>
      </c>
      <c r="C75" t="inlineStr">
        <is>
          <t>solo</t>
        </is>
      </c>
      <c r="D75" t="inlineStr">
        <is>
          <t>N49/C2</t>
        </is>
      </c>
      <c r="E75" s="72" t="inlineStr">
        <is>
          <t>72057594037940625</t>
        </is>
      </c>
      <c r="F75" t="inlineStr">
        <is>
          <t>/composition/layers/71/clips/1/connect</t>
        </is>
      </c>
      <c r="G75" t="inlineStr">
        <is>
          <t>/composition/layers/71/clips/1/connect</t>
        </is>
      </c>
      <c r="H75" t="inlineStr">
        <is>
          <t>/composition/layers/71/clips/1/connected</t>
        </is>
      </c>
      <c r="I75" t="inlineStr">
        <is>
          <t>APC40 mkII</t>
        </is>
      </c>
      <c r="J75" s="71" t="n">
        <v>127</v>
      </c>
      <c r="K75" s="42" t="inlineStr">
        <is>
          <t>#2b5bffff</t>
        </is>
      </c>
      <c r="L75" s="74" t="n">
        <v>1</v>
      </c>
      <c r="M75" t="n">
        <v>1</v>
      </c>
      <c r="N75" t="inlineStr">
        <is>
          <t>PASS</t>
        </is>
      </c>
    </row>
    <row r="76">
      <c r="A76" t="n">
        <v>72</v>
      </c>
      <c r="B76" t="inlineStr">
        <is>
          <t>S</t>
        </is>
      </c>
      <c r="C76" t="inlineStr">
        <is>
          <t>solo</t>
        </is>
      </c>
      <c r="D76" t="inlineStr">
        <is>
          <t>N49/C3</t>
        </is>
      </c>
      <c r="E76" s="72" t="inlineStr">
        <is>
          <t>72057594037940626</t>
        </is>
      </c>
      <c r="F76" t="inlineStr">
        <is>
          <t>/composition/layers/72/clips/1/connect</t>
        </is>
      </c>
      <c r="G76" t="inlineStr">
        <is>
          <t>/composition/layers/72/clips/1/connect</t>
        </is>
      </c>
      <c r="H76" t="inlineStr">
        <is>
          <t>/composition/layers/72/clips/1/connected</t>
        </is>
      </c>
      <c r="I76" t="inlineStr">
        <is>
          <t>APC40 mkII</t>
        </is>
      </c>
      <c r="J76" s="71" t="n">
        <v>127</v>
      </c>
      <c r="K76" s="42" t="inlineStr">
        <is>
          <t>#2b5bffff</t>
        </is>
      </c>
      <c r="L76" s="74" t="n">
        <v>1</v>
      </c>
      <c r="M76" t="n">
        <v>1</v>
      </c>
      <c r="N76" t="inlineStr">
        <is>
          <t>PASS</t>
        </is>
      </c>
    </row>
    <row r="77">
      <c r="A77" t="n">
        <v>73</v>
      </c>
      <c r="B77" t="inlineStr">
        <is>
          <t>S</t>
        </is>
      </c>
      <c r="C77" t="inlineStr">
        <is>
          <t>solo</t>
        </is>
      </c>
      <c r="D77" t="inlineStr">
        <is>
          <t>N49/C4</t>
        </is>
      </c>
      <c r="E77" s="72" t="inlineStr">
        <is>
          <t>72057594037940627</t>
        </is>
      </c>
      <c r="F77" t="inlineStr">
        <is>
          <t>/composition/layers/73/clips/1/connect</t>
        </is>
      </c>
      <c r="G77" t="inlineStr">
        <is>
          <t>/composition/layers/73/clips/1/connect</t>
        </is>
      </c>
      <c r="H77" t="inlineStr">
        <is>
          <t>/composition/layers/73/clips/1/connected</t>
        </is>
      </c>
      <c r="I77" t="inlineStr">
        <is>
          <t>APC40 mkII</t>
        </is>
      </c>
      <c r="J77" s="71" t="n">
        <v>127</v>
      </c>
      <c r="K77" s="42" t="inlineStr">
        <is>
          <t>#2b5bffff</t>
        </is>
      </c>
      <c r="L77" s="74" t="n">
        <v>1</v>
      </c>
      <c r="M77" t="n">
        <v>1</v>
      </c>
      <c r="N77" t="inlineStr">
        <is>
          <t>PASS</t>
        </is>
      </c>
    </row>
    <row r="78">
      <c r="A78" t="n">
        <v>74</v>
      </c>
      <c r="B78" t="inlineStr">
        <is>
          <t>S</t>
        </is>
      </c>
      <c r="C78" t="inlineStr">
        <is>
          <t>solo</t>
        </is>
      </c>
      <c r="D78" t="inlineStr">
        <is>
          <t>N49/C5</t>
        </is>
      </c>
      <c r="E78" s="72" t="inlineStr">
        <is>
          <t>72057594037940628</t>
        </is>
      </c>
      <c r="F78" t="inlineStr">
        <is>
          <t>/composition/layers/74/clips/1/connect</t>
        </is>
      </c>
      <c r="G78" t="inlineStr">
        <is>
          <t>/composition/layers/74/clips/1/connect</t>
        </is>
      </c>
      <c r="H78" t="inlineStr">
        <is>
          <t>/composition/layers/74/clips/1/connected</t>
        </is>
      </c>
      <c r="I78" t="inlineStr">
        <is>
          <t>APC40 mkII</t>
        </is>
      </c>
      <c r="J78" s="71" t="n">
        <v>127</v>
      </c>
      <c r="K78" s="42" t="inlineStr">
        <is>
          <t>#2b5bffff</t>
        </is>
      </c>
      <c r="L78" s="74" t="n">
        <v>1</v>
      </c>
      <c r="M78" t="n">
        <v>1</v>
      </c>
      <c r="N78" t="inlineStr">
        <is>
          <t>PASS</t>
        </is>
      </c>
    </row>
    <row r="79">
      <c r="A79" t="n">
        <v>75</v>
      </c>
      <c r="B79" t="inlineStr">
        <is>
          <t>S</t>
        </is>
      </c>
      <c r="C79" t="inlineStr">
        <is>
          <t>solo</t>
        </is>
      </c>
      <c r="D79" t="inlineStr">
        <is>
          <t>N49/C6</t>
        </is>
      </c>
      <c r="E79" s="72" t="inlineStr">
        <is>
          <t>72057594037940629</t>
        </is>
      </c>
      <c r="F79" t="inlineStr">
        <is>
          <t>/composition/layers/75/clips/1/connect</t>
        </is>
      </c>
      <c r="G79" t="inlineStr">
        <is>
          <t>/composition/layers/75/clips/1/connect</t>
        </is>
      </c>
      <c r="H79" t="inlineStr">
        <is>
          <t>/composition/layers/75/clips/1/connected</t>
        </is>
      </c>
      <c r="I79" t="inlineStr">
        <is>
          <t>APC40 mkII</t>
        </is>
      </c>
      <c r="J79" s="71" t="n">
        <v>127</v>
      </c>
      <c r="K79" s="42" t="inlineStr">
        <is>
          <t>#2b5bffff</t>
        </is>
      </c>
      <c r="L79" s="74" t="n">
        <v>1</v>
      </c>
      <c r="M79" t="n">
        <v>1</v>
      </c>
      <c r="N79" t="inlineStr">
        <is>
          <t>PASS</t>
        </is>
      </c>
    </row>
    <row r="80">
      <c r="A80" t="n">
        <v>76</v>
      </c>
      <c r="B80" t="inlineStr">
        <is>
          <t>S</t>
        </is>
      </c>
      <c r="C80" t="inlineStr">
        <is>
          <t>solo</t>
        </is>
      </c>
      <c r="D80" t="inlineStr">
        <is>
          <t>N49/C7</t>
        </is>
      </c>
      <c r="E80" s="72" t="inlineStr">
        <is>
          <t>72057594037940630</t>
        </is>
      </c>
      <c r="F80" t="inlineStr">
        <is>
          <t>/composition/layers/76/clips/1/connect</t>
        </is>
      </c>
      <c r="G80" t="inlineStr">
        <is>
          <t>/composition/layers/76/clips/1/connect</t>
        </is>
      </c>
      <c r="H80" t="inlineStr">
        <is>
          <t>/composition/layers/76/clips/1/connected</t>
        </is>
      </c>
      <c r="I80" t="inlineStr">
        <is>
          <t>APC40 mkII</t>
        </is>
      </c>
      <c r="J80" s="71" t="n">
        <v>127</v>
      </c>
      <c r="K80" s="42" t="inlineStr">
        <is>
          <t>#2b5bffff</t>
        </is>
      </c>
      <c r="L80" s="74" t="n">
        <v>1</v>
      </c>
      <c r="M80" t="n">
        <v>1</v>
      </c>
      <c r="N80" t="inlineStr">
        <is>
          <t>PASS</t>
        </is>
      </c>
    </row>
    <row r="81">
      <c r="A81" t="n">
        <v>77</v>
      </c>
      <c r="B81" t="inlineStr">
        <is>
          <t>S</t>
        </is>
      </c>
      <c r="C81" t="inlineStr">
        <is>
          <t>solo</t>
        </is>
      </c>
      <c r="D81" t="inlineStr">
        <is>
          <t>N49/C8</t>
        </is>
      </c>
      <c r="E81" s="72" t="inlineStr">
        <is>
          <t>72057594037940631</t>
        </is>
      </c>
      <c r="F81" t="inlineStr">
        <is>
          <t>/composition/layers/77/clips/1/connect</t>
        </is>
      </c>
      <c r="G81" t="inlineStr">
        <is>
          <t>/composition/layers/77/clips/1/connect</t>
        </is>
      </c>
      <c r="H81" t="inlineStr">
        <is>
          <t>/composition/layers/77/clips/1/connected</t>
        </is>
      </c>
      <c r="I81" t="inlineStr">
        <is>
          <t>APC40 mkII</t>
        </is>
      </c>
      <c r="J81" s="71" t="n">
        <v>127</v>
      </c>
      <c r="K81" s="42" t="inlineStr">
        <is>
          <t>#2b5bffff</t>
        </is>
      </c>
      <c r="L81" s="74" t="n">
        <v>1</v>
      </c>
      <c r="M81" t="n">
        <v>1</v>
      </c>
      <c r="N81" t="inlineStr">
        <is>
          <t>PASS</t>
        </is>
      </c>
    </row>
    <row r="82">
      <c r="A82" t="n">
        <v>78</v>
      </c>
      <c r="B82" t="inlineStr">
        <is>
          <t>1</t>
        </is>
      </c>
      <c r="C82" t="inlineStr">
        <is>
          <t>activator</t>
        </is>
      </c>
      <c r="D82" t="inlineStr">
        <is>
          <t>N50/C1</t>
        </is>
      </c>
      <c r="E82" s="72" t="inlineStr">
        <is>
          <t>72057594037940880</t>
        </is>
      </c>
      <c r="F82" t="inlineStr">
        <is>
          <t>/composition/layers/78/clips/1/connect</t>
        </is>
      </c>
      <c r="G82" t="inlineStr">
        <is>
          <t>/composition/layers/78/clips/1/connect</t>
        </is>
      </c>
      <c r="H82" t="inlineStr">
        <is>
          <t>/composition/layers/78/clips/1/connected</t>
        </is>
      </c>
      <c r="I82" t="inlineStr">
        <is>
          <t>APC40 mkII</t>
        </is>
      </c>
      <c r="J82" s="71" t="n">
        <v>21</v>
      </c>
      <c r="K82" s="54" t="inlineStr">
        <is>
          <t>#f08a24ff</t>
        </is>
      </c>
      <c r="L82" s="74" t="n">
        <v>0.1653543307086614</v>
      </c>
      <c r="M82" t="n">
        <v>1</v>
      </c>
      <c r="N82" t="inlineStr">
        <is>
          <t>PASS</t>
        </is>
      </c>
    </row>
    <row r="83">
      <c r="A83" t="n">
        <v>79</v>
      </c>
      <c r="B83" t="inlineStr">
        <is>
          <t>2</t>
        </is>
      </c>
      <c r="C83" t="inlineStr">
        <is>
          <t>activator</t>
        </is>
      </c>
      <c r="D83" t="inlineStr">
        <is>
          <t>N50/C2</t>
        </is>
      </c>
      <c r="E83" s="72" t="inlineStr">
        <is>
          <t>72057594037940881</t>
        </is>
      </c>
      <c r="F83" t="inlineStr">
        <is>
          <t>/composition/layers/79/clips/1/connect</t>
        </is>
      </c>
      <c r="G83" t="inlineStr">
        <is>
          <t>/composition/layers/79/clips/1/connect</t>
        </is>
      </c>
      <c r="H83" t="inlineStr">
        <is>
          <t>/composition/layers/79/clips/1/connected</t>
        </is>
      </c>
      <c r="I83" t="inlineStr">
        <is>
          <t>APC40 mkII</t>
        </is>
      </c>
      <c r="J83" s="71" t="n">
        <v>21</v>
      </c>
      <c r="K83" s="54" t="inlineStr">
        <is>
          <t>#f08a24ff</t>
        </is>
      </c>
      <c r="L83" s="74" t="n">
        <v>0.1653543307086614</v>
      </c>
      <c r="M83" t="n">
        <v>1</v>
      </c>
      <c r="N83" t="inlineStr">
        <is>
          <t>PASS</t>
        </is>
      </c>
    </row>
    <row r="84">
      <c r="A84" t="n">
        <v>80</v>
      </c>
      <c r="B84" t="inlineStr">
        <is>
          <t>3</t>
        </is>
      </c>
      <c r="C84" t="inlineStr">
        <is>
          <t>activator</t>
        </is>
      </c>
      <c r="D84" t="inlineStr">
        <is>
          <t>N50/C3</t>
        </is>
      </c>
      <c r="E84" s="72" t="inlineStr">
        <is>
          <t>72057594037940882</t>
        </is>
      </c>
      <c r="F84" t="inlineStr">
        <is>
          <t>/composition/layers/80/clips/1/connect</t>
        </is>
      </c>
      <c r="G84" t="inlineStr">
        <is>
          <t>/composition/layers/80/clips/1/connect</t>
        </is>
      </c>
      <c r="H84" t="inlineStr">
        <is>
          <t>/composition/layers/80/clips/1/connected</t>
        </is>
      </c>
      <c r="I84" t="inlineStr">
        <is>
          <t>APC40 mkII</t>
        </is>
      </c>
      <c r="J84" s="71" t="n">
        <v>21</v>
      </c>
      <c r="K84" s="54" t="inlineStr">
        <is>
          <t>#f08a24ff</t>
        </is>
      </c>
      <c r="L84" s="74" t="n">
        <v>0.1653543307086614</v>
      </c>
      <c r="M84" t="n">
        <v>1</v>
      </c>
      <c r="N84" t="inlineStr">
        <is>
          <t>PASS</t>
        </is>
      </c>
    </row>
    <row r="85">
      <c r="A85" t="n">
        <v>81</v>
      </c>
      <c r="B85" t="inlineStr">
        <is>
          <t>4</t>
        </is>
      </c>
      <c r="C85" t="inlineStr">
        <is>
          <t>activator</t>
        </is>
      </c>
      <c r="D85" t="inlineStr">
        <is>
          <t>N50/C4</t>
        </is>
      </c>
      <c r="E85" s="72" t="inlineStr">
        <is>
          <t>72057594037940883</t>
        </is>
      </c>
      <c r="F85" t="inlineStr">
        <is>
          <t>/composition/layers/81/clips/1/connect</t>
        </is>
      </c>
      <c r="G85" t="inlineStr">
        <is>
          <t>/composition/layers/81/clips/1/connect</t>
        </is>
      </c>
      <c r="H85" t="inlineStr">
        <is>
          <t>/composition/layers/81/clips/1/connected</t>
        </is>
      </c>
      <c r="I85" t="inlineStr">
        <is>
          <t>APC40 mkII</t>
        </is>
      </c>
      <c r="J85" s="71" t="n">
        <v>21</v>
      </c>
      <c r="K85" s="54" t="inlineStr">
        <is>
          <t>#f08a24ff</t>
        </is>
      </c>
      <c r="L85" s="74" t="n">
        <v>0.1653543307086614</v>
      </c>
      <c r="M85" t="n">
        <v>1</v>
      </c>
      <c r="N85" t="inlineStr">
        <is>
          <t>PASS</t>
        </is>
      </c>
    </row>
    <row r="86">
      <c r="A86" t="n">
        <v>82</v>
      </c>
      <c r="B86" t="inlineStr">
        <is>
          <t>5</t>
        </is>
      </c>
      <c r="C86" t="inlineStr">
        <is>
          <t>activator</t>
        </is>
      </c>
      <c r="D86" t="inlineStr">
        <is>
          <t>N50/C5</t>
        </is>
      </c>
      <c r="E86" s="72" t="inlineStr">
        <is>
          <t>72057594037940884</t>
        </is>
      </c>
      <c r="F86" t="inlineStr">
        <is>
          <t>/composition/layers/82/clips/1/connect</t>
        </is>
      </c>
      <c r="G86" t="inlineStr">
        <is>
          <t>/composition/layers/82/clips/1/connect</t>
        </is>
      </c>
      <c r="H86" t="inlineStr">
        <is>
          <t>/composition/layers/82/clips/1/connected</t>
        </is>
      </c>
      <c r="I86" t="inlineStr">
        <is>
          <t>APC40 mkII</t>
        </is>
      </c>
      <c r="J86" s="71" t="n">
        <v>21</v>
      </c>
      <c r="K86" s="54" t="inlineStr">
        <is>
          <t>#f08a24ff</t>
        </is>
      </c>
      <c r="L86" s="74" t="n">
        <v>0.1653543307086614</v>
      </c>
      <c r="M86" t="n">
        <v>1</v>
      </c>
      <c r="N86" t="inlineStr">
        <is>
          <t>PASS</t>
        </is>
      </c>
    </row>
    <row r="87">
      <c r="A87" t="n">
        <v>83</v>
      </c>
      <c r="B87" t="inlineStr">
        <is>
          <t>6</t>
        </is>
      </c>
      <c r="C87" t="inlineStr">
        <is>
          <t>activator</t>
        </is>
      </c>
      <c r="D87" t="inlineStr">
        <is>
          <t>N50/C6</t>
        </is>
      </c>
      <c r="E87" s="72" t="inlineStr">
        <is>
          <t>72057594037940885</t>
        </is>
      </c>
      <c r="F87" t="inlineStr">
        <is>
          <t>/composition/layers/83/clips/1/connect</t>
        </is>
      </c>
      <c r="G87" t="inlineStr">
        <is>
          <t>/composition/layers/83/clips/1/connect</t>
        </is>
      </c>
      <c r="H87" t="inlineStr">
        <is>
          <t>/composition/layers/83/clips/1/connected</t>
        </is>
      </c>
      <c r="I87" t="inlineStr">
        <is>
          <t>APC40 mkII</t>
        </is>
      </c>
      <c r="J87" s="71" t="n">
        <v>21</v>
      </c>
      <c r="K87" s="54" t="inlineStr">
        <is>
          <t>#f08a24ff</t>
        </is>
      </c>
      <c r="L87" s="74" t="n">
        <v>0.1653543307086614</v>
      </c>
      <c r="M87" t="n">
        <v>1</v>
      </c>
      <c r="N87" t="inlineStr">
        <is>
          <t>PASS</t>
        </is>
      </c>
    </row>
    <row r="88">
      <c r="A88" t="n">
        <v>84</v>
      </c>
      <c r="B88" t="inlineStr">
        <is>
          <t>7</t>
        </is>
      </c>
      <c r="C88" t="inlineStr">
        <is>
          <t>activator</t>
        </is>
      </c>
      <c r="D88" t="inlineStr">
        <is>
          <t>N50/C7</t>
        </is>
      </c>
      <c r="E88" s="72" t="inlineStr">
        <is>
          <t>72057594037940886</t>
        </is>
      </c>
      <c r="F88" t="inlineStr">
        <is>
          <t>/composition/layers/84/clips/1/connect</t>
        </is>
      </c>
      <c r="G88" t="inlineStr">
        <is>
          <t>/composition/layers/84/clips/1/connect</t>
        </is>
      </c>
      <c r="H88" t="inlineStr">
        <is>
          <t>/composition/layers/84/clips/1/connected</t>
        </is>
      </c>
      <c r="I88" t="inlineStr">
        <is>
          <t>APC40 mkII</t>
        </is>
      </c>
      <c r="J88" s="71" t="n">
        <v>21</v>
      </c>
      <c r="K88" s="54" t="inlineStr">
        <is>
          <t>#f08a24ff</t>
        </is>
      </c>
      <c r="L88" s="74" t="n">
        <v>0.1653543307086614</v>
      </c>
      <c r="M88" t="n">
        <v>1</v>
      </c>
      <c r="N88" t="inlineStr">
        <is>
          <t>PASS</t>
        </is>
      </c>
    </row>
    <row r="89">
      <c r="A89" t="n">
        <v>85</v>
      </c>
      <c r="B89" t="inlineStr">
        <is>
          <t>8</t>
        </is>
      </c>
      <c r="C89" t="inlineStr">
        <is>
          <t>activator</t>
        </is>
      </c>
      <c r="D89" t="inlineStr">
        <is>
          <t>N50/C8</t>
        </is>
      </c>
      <c r="E89" s="72" t="inlineStr">
        <is>
          <t>72057594037940887</t>
        </is>
      </c>
      <c r="F89" t="inlineStr">
        <is>
          <t>/composition/layers/85/clips/1/connect</t>
        </is>
      </c>
      <c r="G89" t="inlineStr">
        <is>
          <t>/composition/layers/85/clips/1/connect</t>
        </is>
      </c>
      <c r="H89" t="inlineStr">
        <is>
          <t>/composition/layers/85/clips/1/connected</t>
        </is>
      </c>
      <c r="I89" t="inlineStr">
        <is>
          <t>APC40 mkII</t>
        </is>
      </c>
      <c r="J89" s="71" t="n">
        <v>21</v>
      </c>
      <c r="K89" s="54" t="inlineStr">
        <is>
          <t>#f08a24ff</t>
        </is>
      </c>
      <c r="L89" s="74" t="n">
        <v>0.1653543307086614</v>
      </c>
      <c r="M89" t="n">
        <v>1</v>
      </c>
      <c r="N89" t="inlineStr">
        <is>
          <t>PASS</t>
        </is>
      </c>
    </row>
    <row r="90">
      <c r="A90" t="n">
        <v>86</v>
      </c>
      <c r="B90" t="inlineStr">
        <is>
          <t>A/B</t>
        </is>
      </c>
      <c r="C90" t="inlineStr">
        <is>
          <t>crossfade_assign</t>
        </is>
      </c>
      <c r="D90" t="inlineStr">
        <is>
          <t>N66/C1</t>
        </is>
      </c>
      <c r="E90" s="72" t="inlineStr">
        <is>
          <t>72057594037944976</t>
        </is>
      </c>
      <c r="F90" t="inlineStr">
        <is>
          <t>/composition/layers/86/clips/1/connect</t>
        </is>
      </c>
      <c r="G90" t="inlineStr">
        <is>
          <t>/composition/layers/86/clips/1/connect</t>
        </is>
      </c>
      <c r="H90" t="inlineStr">
        <is>
          <t>/composition/layers/86/clips/1/connected</t>
        </is>
      </c>
      <c r="I90" t="inlineStr">
        <is>
          <t>APC40 mkII</t>
        </is>
      </c>
      <c r="J90" s="71" t="n">
        <v>9</v>
      </c>
      <c r="K90" s="54" t="inlineStr">
        <is>
          <t>#f08a24ff</t>
        </is>
      </c>
      <c r="L90" s="74" t="n">
        <v>0.07086614173228346</v>
      </c>
      <c r="M90" t="n">
        <v>1</v>
      </c>
      <c r="N90" t="inlineStr">
        <is>
          <t>PASS</t>
        </is>
      </c>
    </row>
    <row r="91">
      <c r="A91" t="n">
        <v>87</v>
      </c>
      <c r="B91" t="inlineStr">
        <is>
          <t>A/B</t>
        </is>
      </c>
      <c r="C91" t="inlineStr">
        <is>
          <t>crossfade_assign</t>
        </is>
      </c>
      <c r="D91" t="inlineStr">
        <is>
          <t>N66/C2</t>
        </is>
      </c>
      <c r="E91" s="72" t="inlineStr">
        <is>
          <t>72057594037944977</t>
        </is>
      </c>
      <c r="F91" t="inlineStr">
        <is>
          <t>/composition/layers/87/clips/1/connect</t>
        </is>
      </c>
      <c r="G91" t="inlineStr">
        <is>
          <t>/composition/layers/87/clips/1/connect</t>
        </is>
      </c>
      <c r="H91" t="inlineStr">
        <is>
          <t>/composition/layers/87/clips/1/connected</t>
        </is>
      </c>
      <c r="I91" t="inlineStr">
        <is>
          <t>APC40 mkII</t>
        </is>
      </c>
      <c r="J91" s="71" t="n">
        <v>9</v>
      </c>
      <c r="K91" s="54" t="inlineStr">
        <is>
          <t>#f08a24ff</t>
        </is>
      </c>
      <c r="L91" s="74" t="n">
        <v>0.07086614173228346</v>
      </c>
      <c r="M91" t="n">
        <v>1</v>
      </c>
      <c r="N91" t="inlineStr">
        <is>
          <t>PASS</t>
        </is>
      </c>
    </row>
    <row r="92">
      <c r="A92" t="n">
        <v>88</v>
      </c>
      <c r="B92" t="inlineStr">
        <is>
          <t>A/B</t>
        </is>
      </c>
      <c r="C92" t="inlineStr">
        <is>
          <t>crossfade_assign</t>
        </is>
      </c>
      <c r="D92" t="inlineStr">
        <is>
          <t>N66/C3</t>
        </is>
      </c>
      <c r="E92" s="72" t="inlineStr">
        <is>
          <t>72057594037944978</t>
        </is>
      </c>
      <c r="F92" t="inlineStr">
        <is>
          <t>/composition/layers/88/clips/1/connect</t>
        </is>
      </c>
      <c r="G92" t="inlineStr">
        <is>
          <t>/composition/layers/88/clips/1/connect</t>
        </is>
      </c>
      <c r="H92" t="inlineStr">
        <is>
          <t>/composition/layers/88/clips/1/connected</t>
        </is>
      </c>
      <c r="I92" t="inlineStr">
        <is>
          <t>APC40 mkII</t>
        </is>
      </c>
      <c r="J92" s="71" t="n">
        <v>9</v>
      </c>
      <c r="K92" s="54" t="inlineStr">
        <is>
          <t>#f08a24ff</t>
        </is>
      </c>
      <c r="L92" s="74" t="n">
        <v>0.07086614173228346</v>
      </c>
      <c r="M92" t="n">
        <v>1</v>
      </c>
      <c r="N92" t="inlineStr">
        <is>
          <t>PASS</t>
        </is>
      </c>
    </row>
    <row r="93">
      <c r="A93" t="n">
        <v>89</v>
      </c>
      <c r="B93" t="inlineStr">
        <is>
          <t>A/B</t>
        </is>
      </c>
      <c r="C93" t="inlineStr">
        <is>
          <t>crossfade_assign</t>
        </is>
      </c>
      <c r="D93" t="inlineStr">
        <is>
          <t>N66/C4</t>
        </is>
      </c>
      <c r="E93" s="72" t="inlineStr">
        <is>
          <t>72057594037944979</t>
        </is>
      </c>
      <c r="F93" t="inlineStr">
        <is>
          <t>/composition/layers/89/clips/1/connect</t>
        </is>
      </c>
      <c r="G93" t="inlineStr">
        <is>
          <t>/composition/layers/89/clips/1/connect</t>
        </is>
      </c>
      <c r="H93" t="inlineStr">
        <is>
          <t>/composition/layers/89/clips/1/connected</t>
        </is>
      </c>
      <c r="I93" t="inlineStr">
        <is>
          <t>APC40 mkII</t>
        </is>
      </c>
      <c r="J93" s="71" t="n">
        <v>9</v>
      </c>
      <c r="K93" s="54" t="inlineStr">
        <is>
          <t>#f08a24ff</t>
        </is>
      </c>
      <c r="L93" s="74" t="n">
        <v>0.07086614173228346</v>
      </c>
      <c r="M93" t="n">
        <v>1</v>
      </c>
      <c r="N93" t="inlineStr">
        <is>
          <t>PASS</t>
        </is>
      </c>
    </row>
    <row r="94">
      <c r="A94" t="n">
        <v>90</v>
      </c>
      <c r="B94" t="inlineStr">
        <is>
          <t>A/B</t>
        </is>
      </c>
      <c r="C94" t="inlineStr">
        <is>
          <t>crossfade_assign</t>
        </is>
      </c>
      <c r="D94" t="inlineStr">
        <is>
          <t>N66/C5</t>
        </is>
      </c>
      <c r="E94" s="72" t="inlineStr">
        <is>
          <t>72057594037944980</t>
        </is>
      </c>
      <c r="F94" t="inlineStr">
        <is>
          <t>/composition/layers/90/clips/1/connect</t>
        </is>
      </c>
      <c r="G94" t="inlineStr">
        <is>
          <t>/composition/layers/90/clips/1/connect</t>
        </is>
      </c>
      <c r="H94" t="inlineStr">
        <is>
          <t>/composition/layers/90/clips/1/connected</t>
        </is>
      </c>
      <c r="I94" t="inlineStr">
        <is>
          <t>APC40 mkII</t>
        </is>
      </c>
      <c r="J94" s="71" t="n">
        <v>9</v>
      </c>
      <c r="K94" s="54" t="inlineStr">
        <is>
          <t>#f08a24ff</t>
        </is>
      </c>
      <c r="L94" s="74" t="n">
        <v>0.07086614173228346</v>
      </c>
      <c r="M94" t="n">
        <v>1</v>
      </c>
      <c r="N94" t="inlineStr">
        <is>
          <t>PASS</t>
        </is>
      </c>
    </row>
    <row r="95">
      <c r="A95" t="n">
        <v>91</v>
      </c>
      <c r="B95" t="inlineStr">
        <is>
          <t>A/B</t>
        </is>
      </c>
      <c r="C95" t="inlineStr">
        <is>
          <t>crossfade_assign</t>
        </is>
      </c>
      <c r="D95" t="inlineStr">
        <is>
          <t>N66/C6</t>
        </is>
      </c>
      <c r="E95" s="72" t="inlineStr">
        <is>
          <t>72057594037944981</t>
        </is>
      </c>
      <c r="F95" t="inlineStr">
        <is>
          <t>/composition/layers/91/clips/1/connect</t>
        </is>
      </c>
      <c r="G95" t="inlineStr">
        <is>
          <t>/composition/layers/91/clips/1/connect</t>
        </is>
      </c>
      <c r="H95" t="inlineStr">
        <is>
          <t>/composition/layers/91/clips/1/connected</t>
        </is>
      </c>
      <c r="I95" t="inlineStr">
        <is>
          <t>APC40 mkII</t>
        </is>
      </c>
      <c r="J95" s="71" t="n">
        <v>9</v>
      </c>
      <c r="K95" s="54" t="inlineStr">
        <is>
          <t>#f08a24ff</t>
        </is>
      </c>
      <c r="L95" s="74" t="n">
        <v>0.07086614173228346</v>
      </c>
      <c r="M95" t="n">
        <v>1</v>
      </c>
      <c r="N95" t="inlineStr">
        <is>
          <t>PASS</t>
        </is>
      </c>
    </row>
    <row r="96">
      <c r="A96" t="n">
        <v>92</v>
      </c>
      <c r="B96" t="inlineStr">
        <is>
          <t>A/B</t>
        </is>
      </c>
      <c r="C96" t="inlineStr">
        <is>
          <t>crossfade_assign</t>
        </is>
      </c>
      <c r="D96" t="inlineStr">
        <is>
          <t>N66/C7</t>
        </is>
      </c>
      <c r="E96" s="72" t="inlineStr">
        <is>
          <t>72057594037944982</t>
        </is>
      </c>
      <c r="F96" t="inlineStr">
        <is>
          <t>/composition/layers/92/clips/1/connect</t>
        </is>
      </c>
      <c r="G96" t="inlineStr">
        <is>
          <t>/composition/layers/92/clips/1/connect</t>
        </is>
      </c>
      <c r="H96" t="inlineStr">
        <is>
          <t>/composition/layers/92/clips/1/connected</t>
        </is>
      </c>
      <c r="I96" t="inlineStr">
        <is>
          <t>APC40 mkII</t>
        </is>
      </c>
      <c r="J96" s="71" t="n">
        <v>9</v>
      </c>
      <c r="K96" s="54" t="inlineStr">
        <is>
          <t>#f08a24ff</t>
        </is>
      </c>
      <c r="L96" s="74" t="n">
        <v>0.07086614173228346</v>
      </c>
      <c r="M96" t="n">
        <v>1</v>
      </c>
      <c r="N96" t="inlineStr">
        <is>
          <t>PASS</t>
        </is>
      </c>
    </row>
    <row r="97">
      <c r="A97" t="n">
        <v>93</v>
      </c>
      <c r="B97" t="inlineStr">
        <is>
          <t>A/B</t>
        </is>
      </c>
      <c r="C97" t="inlineStr">
        <is>
          <t>crossfade_assign</t>
        </is>
      </c>
      <c r="D97" t="inlineStr">
        <is>
          <t>N66/C8</t>
        </is>
      </c>
      <c r="E97" s="72" t="inlineStr">
        <is>
          <t>72057594037944983</t>
        </is>
      </c>
      <c r="F97" t="inlineStr">
        <is>
          <t>/composition/layers/93/clips/1/connect</t>
        </is>
      </c>
      <c r="G97" t="inlineStr">
        <is>
          <t>/composition/layers/93/clips/1/connect</t>
        </is>
      </c>
      <c r="H97" t="inlineStr">
        <is>
          <t>/composition/layers/93/clips/1/connected</t>
        </is>
      </c>
      <c r="I97" t="inlineStr">
        <is>
          <t>APC40 mkII</t>
        </is>
      </c>
      <c r="J97" s="71" t="n">
        <v>9</v>
      </c>
      <c r="K97" s="54" t="inlineStr">
        <is>
          <t>#f08a24ff</t>
        </is>
      </c>
      <c r="L97" s="74" t="n">
        <v>0.07086614173228346</v>
      </c>
      <c r="M97" t="n">
        <v>1</v>
      </c>
      <c r="N97" t="inlineStr">
        <is>
          <t>PASS</t>
        </is>
      </c>
    </row>
    <row r="98">
      <c r="A98" t="n">
        <v>118</v>
      </c>
      <c r="B98" t="inlineStr">
        <is>
          <t>PLAY</t>
        </is>
      </c>
      <c r="C98" t="inlineStr">
        <is>
          <t>transport</t>
        </is>
      </c>
      <c r="D98" t="inlineStr">
        <is>
          <t>N91/C1</t>
        </is>
      </c>
      <c r="E98" s="72" t="inlineStr">
        <is>
          <t>72057594037951376</t>
        </is>
      </c>
      <c r="F98" t="inlineStr">
        <is>
          <t>/composition/layers/118/clips/1/connect</t>
        </is>
      </c>
      <c r="G98" t="inlineStr">
        <is>
          <t>/composition/layers/118/clips/1/connect</t>
        </is>
      </c>
      <c r="H98" t="inlineStr">
        <is>
          <t>/composition/layers/118/clips/1/connected</t>
        </is>
      </c>
      <c r="I98" t="inlineStr">
        <is>
          <t>APC40 mkII</t>
        </is>
      </c>
      <c r="J98" s="71" t="n">
        <v>21</v>
      </c>
      <c r="K98" s="54" t="inlineStr">
        <is>
          <t>#f08a24ff</t>
        </is>
      </c>
      <c r="L98" s="74" t="n">
        <v>0.1653543307086614</v>
      </c>
      <c r="M98" t="n">
        <v>1</v>
      </c>
      <c r="N98" t="inlineStr">
        <is>
          <t>PASS</t>
        </is>
      </c>
    </row>
    <row r="99">
      <c r="A99" t="n">
        <v>119</v>
      </c>
      <c r="B99" t="inlineStr">
        <is>
          <t>STOP</t>
        </is>
      </c>
      <c r="C99" t="inlineStr">
        <is>
          <t>transport</t>
        </is>
      </c>
      <c r="D99" t="inlineStr">
        <is>
          <t>N92/C1</t>
        </is>
      </c>
      <c r="E99" s="72" t="inlineStr">
        <is>
          <t>72057594037951632</t>
        </is>
      </c>
      <c r="F99" t="inlineStr">
        <is>
          <t>/composition/layers/119/clips/1/connect</t>
        </is>
      </c>
      <c r="G99" t="inlineStr">
        <is>
          <t>/composition/layers/119/clips/1/connect</t>
        </is>
      </c>
      <c r="H99" t="inlineStr">
        <is>
          <t>/composition/layers/119/clips/1/connected</t>
        </is>
      </c>
      <c r="I99" t="inlineStr">
        <is>
          <t>APC40 mkII</t>
        </is>
      </c>
      <c r="J99" s="71" t="n">
        <v>3</v>
      </c>
      <c r="K99" s="63" t="inlineStr">
        <is>
          <t>#e6e6e6ff</t>
        </is>
      </c>
      <c r="L99" s="74" t="n">
        <v>0.02362204724409449</v>
      </c>
      <c r="M99" t="n">
        <v>1</v>
      </c>
      <c r="N99" t="inlineStr">
        <is>
          <t>PASS</t>
        </is>
      </c>
    </row>
    <row r="100">
      <c r="A100" t="n">
        <v>120</v>
      </c>
      <c r="B100" t="inlineStr">
        <is>
          <t>RECORD</t>
        </is>
      </c>
      <c r="C100" t="inlineStr">
        <is>
          <t>transport</t>
        </is>
      </c>
      <c r="D100" t="inlineStr">
        <is>
          <t>N93/C1</t>
        </is>
      </c>
      <c r="E100" s="72" t="inlineStr">
        <is>
          <t>72057594037951888</t>
        </is>
      </c>
      <c r="F100" t="inlineStr">
        <is>
          <t>/composition/layers/120/clips/1/connect</t>
        </is>
      </c>
      <c r="G100" t="inlineStr">
        <is>
          <t>/composition/layers/120/clips/1/connect</t>
        </is>
      </c>
      <c r="H100" t="inlineStr">
        <is>
          <t>/composition/layers/120/clips/1/connected</t>
        </is>
      </c>
      <c r="I100" t="inlineStr">
        <is>
          <t>APC40 mkII</t>
        </is>
      </c>
      <c r="J100" s="71" t="n">
        <v>5</v>
      </c>
      <c r="K100" s="54" t="inlineStr">
        <is>
          <t>#f08a24ff</t>
        </is>
      </c>
      <c r="L100" s="74" t="n">
        <v>0.03937007874015748</v>
      </c>
      <c r="M100" t="n">
        <v>1</v>
      </c>
      <c r="N100" t="inlineStr">
        <is>
          <t>PASS</t>
        </is>
      </c>
    </row>
    <row r="101">
      <c r="A101" t="n">
        <v>121</v>
      </c>
      <c r="B101" t="inlineStr">
        <is>
          <t>TAP</t>
        </is>
      </c>
      <c r="C101" t="inlineStr">
        <is>
          <t>transport</t>
        </is>
      </c>
      <c r="D101" t="inlineStr">
        <is>
          <t>N99/C1</t>
        </is>
      </c>
      <c r="E101" s="72" t="inlineStr">
        <is>
          <t>72057594037953424</t>
        </is>
      </c>
      <c r="F101" t="inlineStr">
        <is>
          <t>/composition/layers/121/clips/1/connect</t>
        </is>
      </c>
      <c r="G101" t="inlineStr">
        <is>
          <t>/composition/layers/121/clips/1/connect</t>
        </is>
      </c>
      <c r="H101" t="inlineStr">
        <is>
          <t>/composition/layers/121/clips/1/connected</t>
        </is>
      </c>
      <c r="I101" t="inlineStr">
        <is>
          <t>APC40 mkII</t>
        </is>
      </c>
      <c r="J101" s="71" t="n">
        <v>9</v>
      </c>
      <c r="K101" s="63" t="inlineStr">
        <is>
          <t>#e6e6e6ff</t>
        </is>
      </c>
      <c r="L101" s="74" t="n">
        <v>0.07086614173228346</v>
      </c>
      <c r="M101" t="n">
        <v>1</v>
      </c>
      <c r="N101" t="inlineStr">
        <is>
          <t>PASS</t>
        </is>
      </c>
    </row>
    <row r="102">
      <c r="A102" t="n">
        <v>122</v>
      </c>
      <c r="B102" t="inlineStr">
        <is>
          <t>NUDGE-</t>
        </is>
      </c>
      <c r="C102" t="inlineStr">
        <is>
          <t>transport</t>
        </is>
      </c>
      <c r="D102" t="inlineStr">
        <is>
          <t>N100/C1</t>
        </is>
      </c>
      <c r="E102" s="72" t="inlineStr">
        <is>
          <t>72057594037953680</t>
        </is>
      </c>
      <c r="F102" t="inlineStr">
        <is>
          <t>/composition/layers/122/clips/1/connect</t>
        </is>
      </c>
      <c r="G102" t="inlineStr">
        <is>
          <t>/composition/layers/122/clips/1/connect</t>
        </is>
      </c>
      <c r="H102" t="inlineStr">
        <is>
          <t>/composition/layers/122/clips/1/connected</t>
        </is>
      </c>
      <c r="I102" t="inlineStr">
        <is>
          <t>APC40 mkII</t>
        </is>
      </c>
      <c r="J102" s="71" t="n">
        <v>13</v>
      </c>
      <c r="K102" s="63" t="inlineStr">
        <is>
          <t>#e6e6e6ff</t>
        </is>
      </c>
      <c r="L102" s="74" t="n">
        <v>0.1023622047244094</v>
      </c>
      <c r="M102" t="n">
        <v>1</v>
      </c>
      <c r="N102" t="inlineStr">
        <is>
          <t>PASS</t>
        </is>
      </c>
    </row>
    <row r="103">
      <c r="A103" t="n">
        <v>123</v>
      </c>
      <c r="B103" t="inlineStr">
        <is>
          <t>NUDGE+</t>
        </is>
      </c>
      <c r="C103" t="inlineStr">
        <is>
          <t>transport</t>
        </is>
      </c>
      <c r="D103" t="inlineStr">
        <is>
          <t>N101/C1</t>
        </is>
      </c>
      <c r="E103" s="72" t="inlineStr">
        <is>
          <t>72057594037953936</t>
        </is>
      </c>
      <c r="F103" t="inlineStr">
        <is>
          <t>/composition/layers/123/clips/1/connect</t>
        </is>
      </c>
      <c r="G103" t="inlineStr">
        <is>
          <t>/composition/layers/123/clips/1/connect</t>
        </is>
      </c>
      <c r="H103" t="inlineStr">
        <is>
          <t>/composition/layers/123/clips/1/connected</t>
        </is>
      </c>
      <c r="I103" t="inlineStr">
        <is>
          <t>APC40 mkII</t>
        </is>
      </c>
      <c r="J103" s="71" t="n">
        <v>13</v>
      </c>
      <c r="K103" s="63" t="inlineStr">
        <is>
          <t>#e6e6e6ff</t>
        </is>
      </c>
      <c r="L103" s="74" t="n">
        <v>0.1023622047244094</v>
      </c>
      <c r="M103" t="n">
        <v>1</v>
      </c>
      <c r="N103" t="inlineStr">
        <is>
          <t>PASS</t>
        </is>
      </c>
    </row>
    <row r="104">
      <c r="A104" t="n">
        <v>124</v>
      </c>
      <c r="B104" t="inlineStr">
        <is>
          <t>PAN</t>
        </is>
      </c>
      <c r="C104" t="inlineStr">
        <is>
          <t>mode</t>
        </is>
      </c>
      <c r="D104" t="inlineStr">
        <is>
          <t>N87/C1</t>
        </is>
      </c>
      <c r="E104" s="72" t="inlineStr">
        <is>
          <t>72057594037950352</t>
        </is>
      </c>
      <c r="F104" t="inlineStr">
        <is>
          <t>/composition/layers/124/clips/1/connect</t>
        </is>
      </c>
      <c r="G104" t="inlineStr">
        <is>
          <t>/composition/layers/124/clips/1/connect</t>
        </is>
      </c>
      <c r="H104" t="inlineStr">
        <is>
          <t>/composition/layers/124/clips/1/connected</t>
        </is>
      </c>
      <c r="I104" t="inlineStr">
        <is>
          <t>APC40 mkII</t>
        </is>
      </c>
      <c r="J104" s="71" t="n">
        <v>49</v>
      </c>
      <c r="K104" s="54" t="inlineStr">
        <is>
          <t>#f08a24ff</t>
        </is>
      </c>
      <c r="L104" s="74" t="n">
        <v>0.3858267716535433</v>
      </c>
      <c r="M104" t="n">
        <v>1</v>
      </c>
      <c r="N104" t="inlineStr">
        <is>
          <t>PASS</t>
        </is>
      </c>
    </row>
    <row r="105">
      <c r="A105" t="n">
        <v>125</v>
      </c>
      <c r="B105" t="inlineStr">
        <is>
          <t>STOPALL</t>
        </is>
      </c>
      <c r="C105" t="inlineStr">
        <is>
          <t>right_column</t>
        </is>
      </c>
      <c r="D105" t="inlineStr">
        <is>
          <t>N81/C1</t>
        </is>
      </c>
      <c r="E105" s="72" t="inlineStr">
        <is>
          <t>72057594037948816</t>
        </is>
      </c>
      <c r="F105" t="inlineStr">
        <is>
          <t>/composition/layers/125/clips/1/connect</t>
        </is>
      </c>
      <c r="G105" t="inlineStr">
        <is>
          <t>/composition/layers/125/clips/1/connect</t>
        </is>
      </c>
      <c r="H105" t="inlineStr">
        <is>
          <t>/composition/layers/125/clips/1/connected</t>
        </is>
      </c>
      <c r="I105" t="inlineStr">
        <is>
          <t>APC40 mkII</t>
        </is>
      </c>
      <c r="J105" s="71" t="n">
        <v>5</v>
      </c>
      <c r="K105" s="63" t="inlineStr">
        <is>
          <t>#e6e6e6ff</t>
        </is>
      </c>
      <c r="L105" s="74" t="n">
        <v>0.03937007874015748</v>
      </c>
      <c r="M105" t="n">
        <v>1</v>
      </c>
      <c r="N105" t="inlineStr">
        <is>
          <t>PASS</t>
        </is>
      </c>
    </row>
    <row r="106">
      <c r="A106" t="n">
        <v>126</v>
      </c>
      <c r="B106" t="inlineStr">
        <is>
          <t>U</t>
        </is>
      </c>
      <c r="C106" t="inlineStr">
        <is>
          <t>navigation</t>
        </is>
      </c>
      <c r="D106" t="inlineStr">
        <is>
          <t>N94/C1</t>
        </is>
      </c>
      <c r="E106" s="72" t="inlineStr">
        <is>
          <t>72057594037952144</t>
        </is>
      </c>
      <c r="F106" t="inlineStr">
        <is>
          <t>/composition/layers/126/clips/1/connect</t>
        </is>
      </c>
      <c r="G106" t="inlineStr">
        <is>
          <t>/composition/layers/126/clips/1/connect</t>
        </is>
      </c>
      <c r="H106" t="inlineStr">
        <is>
          <t>/composition/layers/126/clips/1/connected</t>
        </is>
      </c>
      <c r="I106" t="inlineStr">
        <is>
          <t>APC40 mkII</t>
        </is>
      </c>
      <c r="J106" s="71" t="n">
        <v>49</v>
      </c>
      <c r="K106" s="63" t="inlineStr">
        <is>
          <t>#e6e6e6ff</t>
        </is>
      </c>
      <c r="L106" s="74" t="n">
        <v>0.3858267716535433</v>
      </c>
      <c r="M106" t="n">
        <v>1</v>
      </c>
      <c r="N106" t="inlineStr">
        <is>
          <t>PASS</t>
        </is>
      </c>
    </row>
    <row r="107">
      <c r="A107" t="n">
        <v>127</v>
      </c>
      <c r="B107" t="inlineStr">
        <is>
          <t>D</t>
        </is>
      </c>
      <c r="C107" t="inlineStr">
        <is>
          <t>navigation</t>
        </is>
      </c>
      <c r="D107" t="inlineStr">
        <is>
          <t>N95/C1</t>
        </is>
      </c>
      <c r="E107" s="72" t="inlineStr">
        <is>
          <t>72057594037952400</t>
        </is>
      </c>
      <c r="F107" t="inlineStr">
        <is>
          <t>/composition/layers/127/clips/1/connect</t>
        </is>
      </c>
      <c r="G107" t="inlineStr">
        <is>
          <t>/composition/layers/127/clips/1/connect</t>
        </is>
      </c>
      <c r="H107" t="inlineStr">
        <is>
          <t>/composition/layers/127/clips/1/connected</t>
        </is>
      </c>
      <c r="I107" t="inlineStr">
        <is>
          <t>APC40 mkII</t>
        </is>
      </c>
      <c r="J107" s="71" t="n">
        <v>49</v>
      </c>
      <c r="K107" s="63" t="inlineStr">
        <is>
          <t>#e6e6e6ff</t>
        </is>
      </c>
      <c r="L107" s="74" t="n">
        <v>0.3858267716535433</v>
      </c>
      <c r="M107" t="n">
        <v>1</v>
      </c>
      <c r="N107" t="inlineStr">
        <is>
          <t>PASS</t>
        </is>
      </c>
    </row>
    <row r="108">
      <c r="A108" t="n">
        <v>128</v>
      </c>
      <c r="B108" t="inlineStr">
        <is>
          <t>R</t>
        </is>
      </c>
      <c r="C108" t="inlineStr">
        <is>
          <t>navigation</t>
        </is>
      </c>
      <c r="D108" t="inlineStr">
        <is>
          <t>N96/C1</t>
        </is>
      </c>
      <c r="E108" s="72" t="inlineStr">
        <is>
          <t>72057594037952656</t>
        </is>
      </c>
      <c r="F108" t="inlineStr">
        <is>
          <t>/composition/layers/128/clips/1/connect</t>
        </is>
      </c>
      <c r="G108" t="inlineStr">
        <is>
          <t>/composition/layers/128/clips/1/connect</t>
        </is>
      </c>
      <c r="H108" t="inlineStr">
        <is>
          <t>/composition/layers/128/clips/1/connected</t>
        </is>
      </c>
      <c r="I108" t="inlineStr">
        <is>
          <t>APC40 mkII</t>
        </is>
      </c>
      <c r="J108" s="71" t="n">
        <v>49</v>
      </c>
      <c r="K108" s="63" t="inlineStr">
        <is>
          <t>#e6e6e6ff</t>
        </is>
      </c>
      <c r="L108" s="74" t="n">
        <v>0.3858267716535433</v>
      </c>
      <c r="M108" t="n">
        <v>1</v>
      </c>
      <c r="N108" t="inlineStr">
        <is>
          <t>PASS</t>
        </is>
      </c>
    </row>
    <row r="109">
      <c r="A109" t="n">
        <v>129</v>
      </c>
      <c r="B109" t="inlineStr">
        <is>
          <t>L</t>
        </is>
      </c>
      <c r="C109" t="inlineStr">
        <is>
          <t>navigation</t>
        </is>
      </c>
      <c r="D109" t="inlineStr">
        <is>
          <t>N97/C1</t>
        </is>
      </c>
      <c r="E109" s="72" t="inlineStr">
        <is>
          <t>72057594037952912</t>
        </is>
      </c>
      <c r="F109" t="inlineStr">
        <is>
          <t>/composition/layers/129/clips/1/connect</t>
        </is>
      </c>
      <c r="G109" t="inlineStr">
        <is>
          <t>/composition/layers/129/clips/1/connect</t>
        </is>
      </c>
      <c r="H109" t="inlineStr">
        <is>
          <t>/composition/layers/129/clips/1/connected</t>
        </is>
      </c>
      <c r="I109" t="inlineStr">
        <is>
          <t>APC40 mkII</t>
        </is>
      </c>
      <c r="J109" s="71" t="n">
        <v>49</v>
      </c>
      <c r="K109" s="63" t="inlineStr">
        <is>
          <t>#e6e6e6ff</t>
        </is>
      </c>
      <c r="L109" s="74" t="n">
        <v>0.3858267716535433</v>
      </c>
      <c r="M109" t="n">
        <v>1</v>
      </c>
      <c r="N109" t="inlineStr">
        <is>
          <t>PASS</t>
        </is>
      </c>
    </row>
    <row r="110">
      <c r="A110" t="n">
        <v>130</v>
      </c>
      <c r="B110" t="inlineStr">
        <is>
          <t>SHIFT</t>
        </is>
      </c>
      <c r="C110" t="inlineStr">
        <is>
          <t>navigation</t>
        </is>
      </c>
      <c r="D110" t="inlineStr">
        <is>
          <t>N98/C1</t>
        </is>
      </c>
      <c r="E110" s="72" t="inlineStr">
        <is>
          <t>72057594037953168</t>
        </is>
      </c>
      <c r="F110" t="inlineStr">
        <is>
          <t>/composition/layers/130/clips/1/connect</t>
        </is>
      </c>
      <c r="G110" t="inlineStr">
        <is>
          <t>/composition/layers/130/clips/1/connect</t>
        </is>
      </c>
      <c r="H110" t="inlineStr">
        <is>
          <t>/composition/layers/130/clips/1/connected</t>
        </is>
      </c>
      <c r="I110" t="inlineStr">
        <is>
          <t>APC40 mkII</t>
        </is>
      </c>
      <c r="J110" s="71" t="n">
        <v>49</v>
      </c>
      <c r="K110" s="63" t="inlineStr">
        <is>
          <t>#e6e6e6ff</t>
        </is>
      </c>
      <c r="L110" s="74" t="n">
        <v>0.3858267716535433</v>
      </c>
      <c r="M110" t="n">
        <v>1</v>
      </c>
      <c r="N110" t="inlineStr">
        <is>
          <t>PASS</t>
        </is>
      </c>
    </row>
    <row r="111">
      <c r="A111" t="n">
        <v>131</v>
      </c>
      <c r="B111" t="inlineStr">
        <is>
          <t>DEVICE&lt;</t>
        </is>
      </c>
      <c r="C111" t="inlineStr">
        <is>
          <t>device_button</t>
        </is>
      </c>
      <c r="D111" t="inlineStr">
        <is>
          <t>N58/C1</t>
        </is>
      </c>
      <c r="E111" s="72" t="inlineStr">
        <is>
          <t>72057594037942928</t>
        </is>
      </c>
      <c r="F111" t="inlineStr">
        <is>
          <t>/composition/layers/131/clips/1/connect</t>
        </is>
      </c>
      <c r="G111" t="inlineStr">
        <is>
          <t>/composition/layers/131/clips/1/connect</t>
        </is>
      </c>
      <c r="H111" t="inlineStr">
        <is>
          <t>/composition/layers/131/clips/1/connected</t>
        </is>
      </c>
      <c r="I111" t="inlineStr">
        <is>
          <t>APC40 mkII</t>
        </is>
      </c>
      <c r="J111" s="71" t="n">
        <v>49</v>
      </c>
      <c r="K111" s="54" t="inlineStr">
        <is>
          <t>#f08a24ff</t>
        </is>
      </c>
      <c r="L111" s="74" t="n">
        <v>0.3858267716535433</v>
      </c>
      <c r="M111" t="n">
        <v>1</v>
      </c>
      <c r="N111" t="inlineStr">
        <is>
          <t>PASS</t>
        </is>
      </c>
    </row>
    <row r="112">
      <c r="A112" t="n">
        <v>132</v>
      </c>
      <c r="B112" t="inlineStr">
        <is>
          <t>DEVICE&gt;</t>
        </is>
      </c>
      <c r="C112" t="inlineStr">
        <is>
          <t>device_button</t>
        </is>
      </c>
      <c r="D112" t="inlineStr">
        <is>
          <t>N59/C1</t>
        </is>
      </c>
      <c r="E112" s="72" t="inlineStr">
        <is>
          <t>72057594037943184</t>
        </is>
      </c>
      <c r="F112" t="inlineStr">
        <is>
          <t>/composition/layers/132/clips/1/connect</t>
        </is>
      </c>
      <c r="G112" t="inlineStr">
        <is>
          <t>/composition/layers/132/clips/1/connect</t>
        </is>
      </c>
      <c r="H112" t="inlineStr">
        <is>
          <t>/composition/layers/132/clips/1/connected</t>
        </is>
      </c>
      <c r="I112" t="inlineStr">
        <is>
          <t>APC40 mkII</t>
        </is>
      </c>
      <c r="J112" s="71" t="n">
        <v>49</v>
      </c>
      <c r="K112" s="54" t="inlineStr">
        <is>
          <t>#f08a24ff</t>
        </is>
      </c>
      <c r="L112" s="74" t="n">
        <v>0.3858267716535433</v>
      </c>
      <c r="M112" t="n">
        <v>1</v>
      </c>
      <c r="N112" t="inlineStr">
        <is>
          <t>PASS</t>
        </is>
      </c>
    </row>
    <row r="113">
      <c r="A113" t="n">
        <v>133</v>
      </c>
      <c r="B113" t="inlineStr">
        <is>
          <t>BANK&lt;</t>
        </is>
      </c>
      <c r="C113" t="inlineStr">
        <is>
          <t>device_button</t>
        </is>
      </c>
      <c r="D113" t="inlineStr">
        <is>
          <t>N60/C1</t>
        </is>
      </c>
      <c r="E113" s="72" t="inlineStr">
        <is>
          <t>72057594037943440</t>
        </is>
      </c>
      <c r="F113" t="inlineStr">
        <is>
          <t>/composition/layers/133/clips/1/connect</t>
        </is>
      </c>
      <c r="G113" t="inlineStr">
        <is>
          <t>/composition/layers/133/clips/1/connect</t>
        </is>
      </c>
      <c r="H113" t="inlineStr">
        <is>
          <t>/composition/layers/133/clips/1/connected</t>
        </is>
      </c>
      <c r="I113" t="inlineStr">
        <is>
          <t>APC40 mkII</t>
        </is>
      </c>
      <c r="J113" s="71" t="n">
        <v>49</v>
      </c>
      <c r="K113" s="54" t="inlineStr">
        <is>
          <t>#f08a24ff</t>
        </is>
      </c>
      <c r="L113" s="74" t="n">
        <v>0.3858267716535433</v>
      </c>
      <c r="M113" t="n">
        <v>1</v>
      </c>
      <c r="N113" t="inlineStr">
        <is>
          <t>PASS</t>
        </is>
      </c>
    </row>
    <row r="114">
      <c r="A114" t="n">
        <v>134</v>
      </c>
      <c r="B114" t="inlineStr">
        <is>
          <t>BANK&gt;</t>
        </is>
      </c>
      <c r="C114" t="inlineStr">
        <is>
          <t>device_button</t>
        </is>
      </c>
      <c r="D114" t="inlineStr">
        <is>
          <t>N61/C1</t>
        </is>
      </c>
      <c r="E114" s="72" t="inlineStr">
        <is>
          <t>72057594037943696</t>
        </is>
      </c>
      <c r="F114" t="inlineStr">
        <is>
          <t>/composition/layers/134/clips/1/connect</t>
        </is>
      </c>
      <c r="G114" t="inlineStr">
        <is>
          <t>/composition/layers/134/clips/1/connect</t>
        </is>
      </c>
      <c r="H114" t="inlineStr">
        <is>
          <t>/composition/layers/134/clips/1/connected</t>
        </is>
      </c>
      <c r="I114" t="inlineStr">
        <is>
          <t>APC40 mkII</t>
        </is>
      </c>
      <c r="J114" s="71" t="n">
        <v>49</v>
      </c>
      <c r="K114" s="54" t="inlineStr">
        <is>
          <t>#f08a24ff</t>
        </is>
      </c>
      <c r="L114" s="74" t="n">
        <v>0.3858267716535433</v>
      </c>
      <c r="M114" t="n">
        <v>1</v>
      </c>
      <c r="N114" t="inlineStr">
        <is>
          <t>PASS</t>
        </is>
      </c>
    </row>
    <row r="115">
      <c r="A115" t="n">
        <v>135</v>
      </c>
      <c r="B115" t="inlineStr">
        <is>
          <t>ON/OFF</t>
        </is>
      </c>
      <c r="C115" t="inlineStr">
        <is>
          <t>device_button</t>
        </is>
      </c>
      <c r="D115" t="inlineStr">
        <is>
          <t>N62/C1</t>
        </is>
      </c>
      <c r="E115" s="72" t="inlineStr">
        <is>
          <t>72057594037943952</t>
        </is>
      </c>
      <c r="F115" t="inlineStr">
        <is>
          <t>/composition/layers/135/clips/1/connect</t>
        </is>
      </c>
      <c r="G115" t="inlineStr">
        <is>
          <t>/composition/layers/135/clips/1/connect</t>
        </is>
      </c>
      <c r="H115" t="inlineStr">
        <is>
          <t>/composition/layers/135/clips/1/connected</t>
        </is>
      </c>
      <c r="I115" t="inlineStr">
        <is>
          <t>APC40 mkII</t>
        </is>
      </c>
      <c r="J115" s="71" t="n">
        <v>21</v>
      </c>
      <c r="K115" s="54" t="inlineStr">
        <is>
          <t>#f08a24ff</t>
        </is>
      </c>
      <c r="L115" s="74" t="n">
        <v>0.1653543307086614</v>
      </c>
      <c r="M115" t="n">
        <v>1</v>
      </c>
      <c r="N115" t="inlineStr">
        <is>
          <t>PASS</t>
        </is>
      </c>
    </row>
    <row r="116">
      <c r="A116" t="n">
        <v>136</v>
      </c>
      <c r="B116" t="inlineStr">
        <is>
          <t>LOCK</t>
        </is>
      </c>
      <c r="C116" t="inlineStr">
        <is>
          <t>device_button</t>
        </is>
      </c>
      <c r="D116" t="inlineStr">
        <is>
          <t>N63/C1</t>
        </is>
      </c>
      <c r="E116" s="72" t="inlineStr">
        <is>
          <t>72057594037944208</t>
        </is>
      </c>
      <c r="F116" t="inlineStr">
        <is>
          <t>/composition/layers/136/clips/1/connect</t>
        </is>
      </c>
      <c r="G116" t="inlineStr">
        <is>
          <t>/composition/layers/136/clips/1/connect</t>
        </is>
      </c>
      <c r="H116" t="inlineStr">
        <is>
          <t>/composition/layers/136/clips/1/connected</t>
        </is>
      </c>
      <c r="I116" t="inlineStr">
        <is>
          <t>APC40 mkII</t>
        </is>
      </c>
      <c r="J116" s="71" t="n">
        <v>49</v>
      </c>
      <c r="K116" s="54" t="inlineStr">
        <is>
          <t>#f08a24ff</t>
        </is>
      </c>
      <c r="L116" s="74" t="n">
        <v>0.3858267716535433</v>
      </c>
      <c r="M116" t="n">
        <v>1</v>
      </c>
      <c r="N116" t="inlineStr">
        <is>
          <t>PASS</t>
        </is>
      </c>
    </row>
    <row r="117">
      <c r="A117" t="n">
        <v>137</v>
      </c>
      <c r="B117" t="inlineStr">
        <is>
          <t>CLIP/DEV</t>
        </is>
      </c>
      <c r="C117" t="inlineStr">
        <is>
          <t>device_button</t>
        </is>
      </c>
      <c r="D117" t="inlineStr">
        <is>
          <t>N64/C1</t>
        </is>
      </c>
      <c r="E117" s="72" t="inlineStr">
        <is>
          <t>72057594037944464</t>
        </is>
      </c>
      <c r="F117" t="inlineStr">
        <is>
          <t>/composition/layers/137/clips/1/connect</t>
        </is>
      </c>
      <c r="G117" t="inlineStr">
        <is>
          <t>/composition/layers/137/clips/1/connect</t>
        </is>
      </c>
      <c r="H117" t="inlineStr">
        <is>
          <t>/composition/layers/137/clips/1/connected</t>
        </is>
      </c>
      <c r="I117" t="inlineStr">
        <is>
          <t>APC40 mkII</t>
        </is>
      </c>
      <c r="J117" s="71" t="n">
        <v>49</v>
      </c>
      <c r="K117" s="54" t="inlineStr">
        <is>
          <t>#f08a24ff</t>
        </is>
      </c>
      <c r="L117" s="74" t="n">
        <v>0.3858267716535433</v>
      </c>
      <c r="M117" t="n">
        <v>1</v>
      </c>
      <c r="N117" t="inlineStr">
        <is>
          <t>PASS</t>
        </is>
      </c>
    </row>
    <row r="118">
      <c r="A118" t="n">
        <v>138</v>
      </c>
      <c r="B118" t="inlineStr">
        <is>
          <t>DETAIL</t>
        </is>
      </c>
      <c r="C118" t="inlineStr">
        <is>
          <t>device_button</t>
        </is>
      </c>
      <c r="D118" t="inlineStr">
        <is>
          <t>N65/C1</t>
        </is>
      </c>
      <c r="E118" s="72" t="inlineStr">
        <is>
          <t>72057594037944720</t>
        </is>
      </c>
      <c r="F118" t="inlineStr">
        <is>
          <t>/composition/layers/138/clips/1/connect</t>
        </is>
      </c>
      <c r="G118" t="inlineStr">
        <is>
          <t>/composition/layers/138/clips/1/connect</t>
        </is>
      </c>
      <c r="H118" t="inlineStr">
        <is>
          <t>/composition/layers/138/clips/1/connected</t>
        </is>
      </c>
      <c r="I118" t="inlineStr">
        <is>
          <t>APC40 mkII</t>
        </is>
      </c>
      <c r="J118" s="71" t="n">
        <v>49</v>
      </c>
      <c r="K118" s="54" t="inlineStr">
        <is>
          <t>#f08a24ff</t>
        </is>
      </c>
      <c r="L118" s="74" t="n">
        <v>0.3858267716535433</v>
      </c>
      <c r="M118" t="n">
        <v>1</v>
      </c>
      <c r="N118" t="inlineStr">
        <is>
          <t>PASS</t>
        </is>
      </c>
    </row>
    <row r="119">
      <c r="A119" t="n">
        <v>139</v>
      </c>
      <c r="B119" t="inlineStr">
        <is>
          <t>SENDS</t>
        </is>
      </c>
      <c r="C119" t="inlineStr">
        <is>
          <t>mode</t>
        </is>
      </c>
      <c r="D119" t="inlineStr">
        <is>
          <t>N88/C1</t>
        </is>
      </c>
      <c r="E119" s="72" t="inlineStr">
        <is>
          <t>72057594037950608</t>
        </is>
      </c>
      <c r="F119" t="inlineStr">
        <is>
          <t>/composition/layers/139/clips/1/connect</t>
        </is>
      </c>
      <c r="G119" t="inlineStr">
        <is>
          <t>/composition/layers/139/clips/1/connect</t>
        </is>
      </c>
      <c r="H119" t="inlineStr">
        <is>
          <t>/composition/layers/139/clips/1/connected</t>
        </is>
      </c>
      <c r="I119" t="inlineStr">
        <is>
          <t>APC40 mkII</t>
        </is>
      </c>
      <c r="J119" s="71" t="n">
        <v>49</v>
      </c>
      <c r="K119" s="54" t="inlineStr">
        <is>
          <t>#f08a24ff</t>
        </is>
      </c>
      <c r="L119" s="74" t="n">
        <v>0.3858267716535433</v>
      </c>
      <c r="M119" t="n">
        <v>1</v>
      </c>
      <c r="N119" t="inlineStr">
        <is>
          <t>PASS</t>
        </is>
      </c>
    </row>
    <row r="120">
      <c r="A120" t="n">
        <v>140</v>
      </c>
      <c r="B120" t="inlineStr">
        <is>
          <t>USER</t>
        </is>
      </c>
      <c r="C120" t="inlineStr">
        <is>
          <t>mode</t>
        </is>
      </c>
      <c r="D120" t="inlineStr">
        <is>
          <t>N89/C1</t>
        </is>
      </c>
      <c r="E120" s="72" t="inlineStr">
        <is>
          <t>72057594037950864</t>
        </is>
      </c>
      <c r="F120" t="inlineStr">
        <is>
          <t>/composition/layers/140/clips/1/connect</t>
        </is>
      </c>
      <c r="G120" t="inlineStr">
        <is>
          <t>/composition/layers/140/clips/1/connect</t>
        </is>
      </c>
      <c r="H120" t="inlineStr">
        <is>
          <t>/composition/layers/140/clips/1/connected</t>
        </is>
      </c>
      <c r="I120" t="inlineStr">
        <is>
          <t>APC40 mkII</t>
        </is>
      </c>
      <c r="J120" s="71" t="n">
        <v>49</v>
      </c>
      <c r="K120" s="54" t="inlineStr">
        <is>
          <t>#f08a24ff</t>
        </is>
      </c>
      <c r="L120" s="74" t="n">
        <v>0.3858267716535433</v>
      </c>
      <c r="M120" t="n">
        <v>1</v>
      </c>
      <c r="N120" t="inlineStr">
        <is>
          <t>PASS</t>
        </is>
      </c>
    </row>
    <row r="121">
      <c r="A121" t="n">
        <v>141</v>
      </c>
      <c r="B121" t="inlineStr">
        <is>
          <t>METRO</t>
        </is>
      </c>
      <c r="C121" t="inlineStr">
        <is>
          <t>transport</t>
        </is>
      </c>
      <c r="D121" t="inlineStr">
        <is>
          <t>N90/C1</t>
        </is>
      </c>
      <c r="E121" s="72" t="inlineStr">
        <is>
          <t>72057594037951120</t>
        </is>
      </c>
      <c r="F121" t="inlineStr">
        <is>
          <t>/composition/layers/141/clips/1/connect</t>
        </is>
      </c>
      <c r="G121" t="inlineStr">
        <is>
          <t>/composition/layers/141/clips/1/connect</t>
        </is>
      </c>
      <c r="H121" t="inlineStr">
        <is>
          <t>/composition/layers/141/clips/1/connected</t>
        </is>
      </c>
      <c r="I121" t="inlineStr">
        <is>
          <t>APC40 mkII</t>
        </is>
      </c>
      <c r="J121" s="71" t="n">
        <v>13</v>
      </c>
      <c r="K121" s="54" t="inlineStr">
        <is>
          <t>#f08a24ff</t>
        </is>
      </c>
      <c r="L121" s="74" t="n">
        <v>0.1023622047244094</v>
      </c>
      <c r="M121" t="n">
        <v>1</v>
      </c>
      <c r="N121" t="inlineStr">
        <is>
          <t>PASS</t>
        </is>
      </c>
    </row>
    <row r="122">
      <c r="A122" t="n">
        <v>142</v>
      </c>
      <c r="B122" t="inlineStr">
        <is>
          <t>SESSION</t>
        </is>
      </c>
      <c r="C122" t="inlineStr">
        <is>
          <t>transport</t>
        </is>
      </c>
      <c r="D122" t="inlineStr">
        <is>
          <t>N102/C1</t>
        </is>
      </c>
      <c r="E122" s="72" t="inlineStr">
        <is>
          <t>72057594037954192</t>
        </is>
      </c>
      <c r="F122" t="inlineStr">
        <is>
          <t>/composition/layers/142/clips/1/connect</t>
        </is>
      </c>
      <c r="G122" t="inlineStr">
        <is>
          <t>/composition/layers/142/clips/1/connect</t>
        </is>
      </c>
      <c r="H122" t="inlineStr">
        <is>
          <t>/composition/layers/142/clips/1/connected</t>
        </is>
      </c>
      <c r="I122" t="inlineStr">
        <is>
          <t>APC40 mkII</t>
        </is>
      </c>
      <c r="J122" s="71" t="n">
        <v>53</v>
      </c>
      <c r="K122" s="54" t="inlineStr">
        <is>
          <t>#f08a24ff</t>
        </is>
      </c>
      <c r="L122" s="74" t="n">
        <v>0.4173228346456693</v>
      </c>
      <c r="M122" t="n">
        <v>1</v>
      </c>
      <c r="N122" t="inlineStr">
        <is>
          <t>PASS</t>
        </is>
      </c>
    </row>
    <row r="123">
      <c r="A123" t="n">
        <v>146</v>
      </c>
      <c r="B123" t="inlineStr">
        <is>
          <t>MASTER</t>
        </is>
      </c>
      <c r="C123" t="inlineStr">
        <is>
          <t>right_column</t>
        </is>
      </c>
      <c r="D123" t="inlineStr">
        <is>
          <t>N80/C1</t>
        </is>
      </c>
      <c r="E123" s="72" t="inlineStr">
        <is>
          <t>72057594037948560</t>
        </is>
      </c>
      <c r="F123" t="inlineStr">
        <is>
          <t>/composition/layers/146/clips/1/connect</t>
        </is>
      </c>
      <c r="G123" t="inlineStr">
        <is>
          <t>/composition/layers/146/clips/1/connect</t>
        </is>
      </c>
      <c r="H123" t="inlineStr">
        <is>
          <t>/composition/layers/146/clips/1/connected</t>
        </is>
      </c>
      <c r="I123" t="inlineStr">
        <is>
          <t>APC40 mkII</t>
        </is>
      </c>
      <c r="J123" s="71" t="n">
        <v>45</v>
      </c>
      <c r="K123" s="54" t="inlineStr">
        <is>
          <t>#f08a24ff</t>
        </is>
      </c>
      <c r="L123" s="74" t="n">
        <v>0.3543307086614173</v>
      </c>
      <c r="M123" t="n">
        <v>1</v>
      </c>
      <c r="N123" t="inlineStr">
        <is>
          <t>PASS</t>
        </is>
      </c>
    </row>
    <row r="124">
      <c r="A124" t="n">
        <v>147</v>
      </c>
      <c r="B124" t="inlineStr">
        <is>
          <t>BANKLCK</t>
        </is>
      </c>
      <c r="C124" t="inlineStr">
        <is>
          <t>navigation</t>
        </is>
      </c>
      <c r="D124" t="inlineStr">
        <is>
          <t>N103/C1</t>
        </is>
      </c>
      <c r="E124" s="72" t="inlineStr">
        <is>
          <t>72057594037954448</t>
        </is>
      </c>
      <c r="F124" t="inlineStr">
        <is>
          <t>/composition/layers/147/clips/1/connect</t>
        </is>
      </c>
      <c r="G124" t="inlineStr">
        <is>
          <t>/composition/layers/147/clips/1/connect</t>
        </is>
      </c>
      <c r="H124" t="inlineStr">
        <is>
          <t>/composition/layers/147/clips/1/connected</t>
        </is>
      </c>
      <c r="I124" t="inlineStr">
        <is>
          <t>APC40 mkII</t>
        </is>
      </c>
      <c r="J124" s="71" t="n">
        <v>49</v>
      </c>
      <c r="K124" s="54" t="inlineStr">
        <is>
          <t>#f08a24ff</t>
        </is>
      </c>
      <c r="L124" s="74" t="n">
        <v>0.3858267716535433</v>
      </c>
      <c r="M124" t="n">
        <v>1</v>
      </c>
      <c r="N124" t="inlineStr">
        <is>
          <t>PASS</t>
        </is>
      </c>
    </row>
  </sheetData>
  <mergeCells count="2">
    <mergeCell ref="A2:N2"/>
    <mergeCell ref="A1:N1"/>
  </mergeCells>
  <conditionalFormatting sqref="N5:N124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70" customWidth="1" min="3" max="3"/>
    <col width="70" customWidth="1" min="4" max="4"/>
    <col width="12" customWidth="1" min="5" max="5"/>
  </cols>
  <sheetData>
    <row r="1" ht="28" customHeight="1">
      <c r="A1" s="68" t="inlineStr">
        <is>
          <t>Verification Checklist — Accepted B1 Contract</t>
        </is>
      </c>
    </row>
    <row r="2" ht="20" customHeight="1">
      <c r="A2" s="5" t="inlineStr">
        <is>
          <t>Actual values are formula-driven from the workbook tables; green means the exported workbook reconciles to the installed XML</t>
        </is>
      </c>
    </row>
    <row r="4" ht="32" customHeight="1">
      <c r="A4" s="15" t="inlineStr">
        <is>
          <t>#</t>
        </is>
      </c>
      <c r="B4" s="37" t="inlineStr">
        <is>
          <t>Check</t>
        </is>
      </c>
      <c r="C4" s="37" t="inlineStr">
        <is>
          <t>Expected</t>
        </is>
      </c>
      <c r="D4" s="37" t="inlineStr">
        <is>
          <t>Actual</t>
        </is>
      </c>
      <c r="E4" s="16" t="inlineStr">
        <is>
          <t>Status</t>
        </is>
      </c>
    </row>
    <row r="5">
      <c r="A5" s="71" t="n">
        <v>1</v>
      </c>
      <c r="B5" t="inlineStr">
        <is>
          <t>Source XML SHA-256</t>
        </is>
      </c>
      <c r="C5" s="72" t="inlineStr">
        <is>
          <t>4628634b4fb9a9909a5b1ee9d7c9df1a759371cc7a90ce183d8bb4cc40d1abc5</t>
        </is>
      </c>
      <c r="D5" s="72" t="inlineStr">
        <is>
          <t>4628634b4fb9a9909a5b1ee9d7c9df1a759371cc7a90ce183d8bb4cc40d1abc5</t>
        </is>
      </c>
      <c r="E5">
        <f>IF(C5=D5,"PASS","FAIL")</f>
        <v/>
      </c>
    </row>
    <row r="6">
      <c r="A6" s="71" t="n">
        <v>2</v>
      </c>
      <c r="B6" t="inlineStr">
        <is>
          <t>Physical control rows</t>
        </is>
      </c>
      <c r="C6" s="71" t="n">
        <v>148</v>
      </c>
      <c r="D6" s="71">
        <f>COUNTA('Control Map'!$A$5:$A$152)</f>
        <v/>
      </c>
      <c r="E6">
        <f>IF(C6=D6,"PASS","FAIL")</f>
        <v/>
      </c>
    </row>
    <row r="7">
      <c r="A7" s="71" t="n">
        <v>3</v>
      </c>
      <c r="B7" t="inlineStr">
        <is>
          <t>XML shortcut records</t>
        </is>
      </c>
      <c r="C7" s="71" t="n">
        <v>203</v>
      </c>
      <c r="D7" s="71">
        <f>COUNTA('XML Shortcuts'!$B$5:$B$207)</f>
        <v/>
      </c>
      <c r="E7">
        <f>IF(C7=D7,"PASS","FAIL")</f>
        <v/>
      </c>
    </row>
    <row r="8">
      <c r="A8" s="71" t="n">
        <v>4</v>
      </c>
      <c r="B8" t="inlineStr">
        <is>
          <t>Unique shortcut IDs</t>
        </is>
      </c>
      <c r="C8" s="71" t="n">
        <v>203</v>
      </c>
      <c r="D8" s="71">
        <f>ROWS(_xlfn.UNIQUE('XML Shortcuts'!$B$5:$B$207))</f>
        <v/>
      </c>
      <c r="E8">
        <f>IF(C8=D8,"PASS","FAIL")</f>
        <v/>
      </c>
    </row>
    <row r="9">
      <c r="A9" s="71" t="n">
        <v>5</v>
      </c>
      <c r="B9" t="inlineStr">
        <is>
          <t>Unique raw MIDI keys</t>
        </is>
      </c>
      <c r="C9" s="71" t="n">
        <v>148</v>
      </c>
      <c r="D9" s="71">
        <f>ROWS(_xlfn.UNIQUE('XML Shortcuts'!$J$5:$J$207))</f>
        <v/>
      </c>
      <c r="E9">
        <f>IF(C9=D9,"PASS","FAIL")</f>
        <v/>
      </c>
    </row>
    <row r="10">
      <c r="A10" s="71" t="n">
        <v>6</v>
      </c>
      <c r="B10" t="inlineStr">
        <is>
          <t>Button / note controls</t>
        </is>
      </c>
      <c r="C10" s="71" t="n">
        <v>120</v>
      </c>
      <c r="D10" s="71">
        <f>COUNTIF('Control Map'!$E$5:$E$152,"note")</f>
        <v/>
      </c>
      <c r="E10">
        <f>IF(C10=D10,"PASS","FAIL")</f>
        <v/>
      </c>
    </row>
    <row r="11">
      <c r="A11" s="71" t="n">
        <v>7</v>
      </c>
      <c r="B11" t="inlineStr">
        <is>
          <t>Continuous / CC controls</t>
        </is>
      </c>
      <c r="C11" s="71" t="n">
        <v>28</v>
      </c>
      <c r="D11" s="71">
        <f>COUNTIF('Control Map'!$E$5:$E$152,"cc")</f>
        <v/>
      </c>
      <c r="E11">
        <f>IF(C11=D11,"PASS","FAIL")</f>
        <v/>
      </c>
    </row>
    <row r="12">
      <c r="A12" s="71" t="n">
        <v>8</v>
      </c>
      <c r="B12" t="inlineStr">
        <is>
          <t>Button connect mappings</t>
        </is>
      </c>
      <c r="C12" s="71" t="n">
        <v>120</v>
      </c>
      <c r="D12" s="71">
        <f>COUNTIF('XML Shortcuts'!$C$5:$C$207,"button_connect")</f>
        <v/>
      </c>
      <c r="E12">
        <f>IF(C12=D12,"PASS","FAIL")</f>
        <v/>
      </c>
    </row>
    <row r="13">
      <c r="A13" s="71" t="n">
        <v>9</v>
      </c>
      <c r="B13" t="inlineStr">
        <is>
          <t>CC wake mappings</t>
        </is>
      </c>
      <c r="C13" s="71" t="n">
        <v>28</v>
      </c>
      <c r="D13" s="71">
        <f>COUNTIF('XML Shortcuts'!$C$5:$C$207,"wake")</f>
        <v/>
      </c>
      <c r="E13">
        <f>IF(C13=D13,"PASS","FAIL")</f>
        <v/>
      </c>
    </row>
    <row r="14">
      <c r="A14" s="71" t="n">
        <v>10</v>
      </c>
      <c r="B14" t="inlineStr">
        <is>
          <t>Opacity mappings</t>
        </is>
      </c>
      <c r="C14" s="71" t="n">
        <v>27</v>
      </c>
      <c r="D14" s="71">
        <f>COUNTIF('XML Shortcuts'!$C$5:$C$207,"opacity")</f>
        <v/>
      </c>
      <c r="E14">
        <f>IF(C14=D14,"PASS","FAIL")</f>
        <v/>
      </c>
    </row>
    <row r="15">
      <c r="A15" s="71" t="n">
        <v>11</v>
      </c>
      <c r="B15" t="inlineStr">
        <is>
          <t>Position Y mappings</t>
        </is>
      </c>
      <c r="C15" s="71" t="n">
        <v>9</v>
      </c>
      <c r="D15" s="71">
        <f>COUNTIF('XML Shortcuts'!$C$5:$C$207,"motion_y")</f>
        <v/>
      </c>
      <c r="E15">
        <f>IF(C15=D15,"PASS","FAIL")</f>
        <v/>
      </c>
    </row>
    <row r="16">
      <c r="A16" s="71" t="n">
        <v>12</v>
      </c>
      <c r="B16" t="inlineStr">
        <is>
          <t>Position X mappings</t>
        </is>
      </c>
      <c r="C16" s="71" t="n">
        <v>1</v>
      </c>
      <c r="D16" s="71">
        <f>COUNTIF('XML Shortcuts'!$C$5:$C$207,"motion_x")</f>
        <v/>
      </c>
      <c r="E16">
        <f>IF(C16=D16,"PASS","FAIL")</f>
        <v/>
      </c>
    </row>
    <row r="17">
      <c r="A17" s="71" t="n">
        <v>13</v>
      </c>
      <c r="B17" t="inlineStr">
        <is>
          <t>Rotation Z mappings (absolute + Tempo)</t>
        </is>
      </c>
      <c r="C17" s="71" t="n">
        <v>18</v>
      </c>
      <c r="D17" s="71">
        <f>COUNTIF('XML Shortcuts'!$C$5:$C$207,"motion_rotation")+COUNTIF('XML Shortcuts'!$C$5:$C$207,"tempo_motion")</f>
        <v/>
      </c>
      <c r="E17">
        <f>IF(C17=D17,"PASS","FAIL")</f>
        <v/>
      </c>
    </row>
    <row r="18">
      <c r="A18" s="71" t="n">
        <v>14</v>
      </c>
      <c r="B18" t="inlineStr">
        <is>
          <t>Delay mappings</t>
        </is>
      </c>
      <c r="C18" s="71" t="n">
        <v>0</v>
      </c>
      <c r="D18" s="71">
        <f>COUNTIF('XML Shortcuts'!$C$5:$C$207,"delay")</f>
        <v/>
      </c>
      <c r="E18">
        <f>IF(C18=D18,"PASS","FAIL")</f>
        <v/>
      </c>
    </row>
    <row r="19">
      <c r="A19" s="71" t="n">
        <v>15</v>
      </c>
      <c r="B19" t="inlineStr">
        <is>
          <t>Button records with output device</t>
        </is>
      </c>
      <c r="C19" s="71" t="n">
        <v>120</v>
      </c>
      <c r="D19" s="71">
        <f>COUNTIFS('XML Shortcuts'!$G$5:$G$207,"note",'XML Shortcuts'!$T$5:$T$207,"APC40 mkII")</f>
        <v/>
      </c>
      <c r="E19">
        <f>IF(C19=D19,"PASS","FAIL")</f>
        <v/>
      </c>
    </row>
    <row r="20">
      <c r="A20" s="71" t="n">
        <v>16</v>
      </c>
      <c r="B20" t="inlineStr">
        <is>
          <t>CC records with output device</t>
        </is>
      </c>
      <c r="C20" s="71" t="n">
        <v>0</v>
      </c>
      <c r="D20" s="71">
        <f>COUNTIFS('XML Shortcuts'!$G$5:$G$207,"cc",'XML Shortcuts'!$T$5:$T$207,"APC40 mkII")</f>
        <v/>
      </c>
      <c r="E20">
        <f>IF(C20=D20,"PASS","FAIL")</f>
        <v/>
      </c>
    </row>
  </sheetData>
  <mergeCells count="2">
    <mergeCell ref="A2:E2"/>
    <mergeCell ref="A1:E1"/>
  </mergeCells>
  <conditionalFormatting sqref="E5:E20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2026-07-22T07:05:02Z</dcterms:created>
  <dcterms:modified xsi:type="dcterms:W3CDTF">2026-07-22T07:25:55Z</dcterms:modified>
</cp:coreProperties>
</file>