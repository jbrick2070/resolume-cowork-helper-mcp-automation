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ontrol Map" sheetId="2" state="visible" r:id="rId4"/>
    <sheet name="Dashboard Slots" sheetId="3" state="visible" r:id="rId5"/>
    <sheet name="Safety Rails" sheetId="4" state="visible" r:id="rId6"/>
    <sheet name="Profiles" sheetId="5" state="visible" r:id="rId7"/>
    <sheet name="Verify Checklist" sheetId="6" state="visible" r:id="rId8"/>
  </sheets>
  <definedNames>
    <definedName function="false" hidden="true" localSheetId="1" name="_xlnm._FilterDatabase" vbProcedure="false">'Control Map'!$A$4:$L$42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<sst xmlns="http://schemas.openxmlformats.org/spreadsheetml/2006/main" count="725" uniqueCount="439">
  <si>
    <t xml:space="preserve">Standard APC40 mkII Control Map</t>
  </si>
  <si>
    <t xml:space="preserve">Resolume Avenue 7.27.1  -  verification reference for the fable-kit APC40 layout</t>
  </si>
  <si>
    <t xml:space="preserve">What this is</t>
  </si>
  <si>
    <t xml:space="preserve">One row per physical APC40 mkII control, mapped for BOTH shipped presets side by side:</t>
  </si>
  <si>
    <t xml:space="preserve">Ease-of-Use (the load-and-go community layout) and Expert (the full rig, every control mapped).</t>
  </si>
  <si>
    <t xml:space="preserve">It exists so the mapping can be checked against reality instead of taken on faith.</t>
  </si>
  <si>
    <t xml:space="preserve">Provenance convention</t>
  </si>
  <si>
    <t xml:space="preserve">Every row is tagged so nothing is presented as fact that isn't (SOLID vs DASHED):</t>
  </si>
  <si>
    <t xml:space="preserve">PROVEN</t>
  </si>
  <si>
    <t xml:space="preserve">Confirmed live on the rig, or already shipping in preset v4.4. Trust it.</t>
  </si>
  <si>
    <t xml:space="preserve">DOC</t>
  </si>
  <si>
    <t xml:space="preserve">Documented in the Resolume manual or the Akai APC40 mkII Communications Protocol v1.2.</t>
  </si>
  <si>
    <t xml:space="preserve">PROPOSED</t>
  </si>
  <si>
    <t xml:space="preserve">Design decision whose exact XML/MIDI still needs a UI specimen (make-one-save-diff-clone)</t>
  </si>
  <si>
    <t xml:space="preserve">before code depends on it. Function is decided; the byte-exact shortcut is not yet captured.</t>
  </si>
  <si>
    <t xml:space="preserve">The two presets</t>
  </si>
  <si>
    <t xml:space="preserve">Ease-of-Use = 8 Track knobs on the selected-clip dashboard + clip grid + faders. Portable, minimal.</t>
  </si>
  <si>
    <t xml:space="preserve">Expert = adds banked layer-dashboard knobs, an FX punch row, scene looks, transport, crossfader FX.</t>
  </si>
  <si>
    <t xml:space="preserve">Generic</t>
  </si>
  <si>
    <t xml:space="preserve">The 'no assumptions about your layer names' fallback the generator ships for any vibe comp.</t>
  </si>
  <si>
    <t xml:space="preserve">Tabs</t>
  </si>
  <si>
    <t xml:space="preserve">Control Map / Dashboard Slots / Safety Rails / Profiles / Verify Checklist.</t>
  </si>
  <si>
    <t xml:space="preserve">Companion docs</t>
  </si>
  <si>
    <t xml:space="preserve">APC40_Standard_Layout.md (spec) and docs/CONTROL_LOGIC.md (the law) in the same kit.</t>
  </si>
  <si>
    <t xml:space="preserve">Live verification summary</t>
  </si>
  <si>
    <t xml:space="preserve">Physical control rows</t>
  </si>
  <si>
    <t xml:space="preserve">  PROVEN</t>
  </si>
  <si>
    <t xml:space="preserve">  DOC</t>
  </si>
  <si>
    <t xml:space="preserve">  PROPOSED (needs UI specimen)</t>
  </si>
  <si>
    <t xml:space="preserve">Expert-column blanks (must be 0 = nothing unmapped)</t>
  </si>
  <si>
    <t xml:space="preserve">Control Map  -  APC40 mkII x Resolume Avenue 7.27.1</t>
  </si>
  <si>
    <t xml:space="preserve">PROVEN = rig-confirmed / shipping   |   DOC = manual or Akai v1.2   |   PROPOSED = needs a UI specimen</t>
  </si>
  <si>
    <t xml:space="preserve">Section</t>
  </si>
  <si>
    <t xml:space="preserve">Control</t>
  </si>
  <si>
    <t xml:space="preserve">Qty</t>
  </si>
  <si>
    <t xml:space="preserve">MIDI</t>
  </si>
  <si>
    <t xml:space="preserve">MIDI # / Ch</t>
  </si>
  <si>
    <t xml:space="preserve">Ease-of-Use mapping</t>
  </si>
  <si>
    <t xml:space="preserve">Expert mapping</t>
  </si>
  <si>
    <t xml:space="preserve">Resolume target (OSC)</t>
  </si>
  <si>
    <t xml:space="preserve">Input mode</t>
  </si>
  <si>
    <t xml:space="preserve">Safety rail</t>
  </si>
  <si>
    <t xml:space="preserve">Prov.</t>
  </si>
  <si>
    <t xml:space="preserve">Notes</t>
  </si>
  <si>
    <t xml:space="preserve">GRID (5x8 pads)</t>
  </si>
  <si>
    <t xml:space="preserve">Grid row 1  (physical TOP)</t>
  </si>
  <si>
    <t xml:space="preserve">8</t>
  </si>
  <si>
    <t xml:space="preserve">Note</t>
  </si>
  <si>
    <t xml:space="preserve">32-39</t>
  </si>
  <si>
    <t xml:space="preserve">L4 Pulse clips 1-8</t>
  </si>
  <si>
    <t xml:space="preserve">/composition/layers/4/clips/C/connect</t>
  </si>
  <si>
    <t xml:space="preserve">By Position</t>
  </si>
  <si>
    <t xml:space="preserve">-</t>
  </si>
  <si>
    <t xml:space="preserve">Top grid row = top visual layer. Note range rig-confirmed.</t>
  </si>
  <si>
    <t xml:space="preserve">Grid row 2</t>
  </si>
  <si>
    <t xml:space="preserve">24-31</t>
  </si>
  <si>
    <t xml:space="preserve">L3 Body clips 1-8</t>
  </si>
  <si>
    <t xml:space="preserve">/composition/layers/3/clips/C/connect</t>
  </si>
  <si>
    <t xml:space="preserve">Note layout = row*8 from bottom; derived from the rig-confirmed top row.</t>
  </si>
  <si>
    <t xml:space="preserve">Grid row 3</t>
  </si>
  <si>
    <t xml:space="preserve">16-23</t>
  </si>
  <si>
    <t xml:space="preserve">L2 Structure clips 1-8</t>
  </si>
  <si>
    <t xml:space="preserve">/composition/layers/2/clips/C/connect</t>
  </si>
  <si>
    <t xml:space="preserve">Grid row 4</t>
  </si>
  <si>
    <t xml:space="preserve">8-15</t>
  </si>
  <si>
    <t xml:space="preserve">L1 Bed clips 1-8</t>
  </si>
  <si>
    <t xml:space="preserve">/composition/layers/1/clips/C/connect</t>
  </si>
  <si>
    <t xml:space="preserve">Bottom of the four-layer block = Resolume Layer 1.</t>
  </si>
  <si>
    <t xml:space="preserve">Grid row 5  (physical BOTTOM)</t>
  </si>
  <si>
    <t xml:space="preserve">0-7</t>
  </si>
  <si>
    <t xml:space="preserve">Composition looks 1-8 (columns)</t>
  </si>
  <si>
    <t xml:space="preserve">FX PUNCH ROW: 8 comp-FX bypass toggles</t>
  </si>
  <si>
    <t xml:space="preserve">/composition/columns/C/connect  |  /composition/video/effects/E/bypassed</t>
  </si>
  <si>
    <t xml:space="preserve">By Position (Ease) / Toggle (Expert)</t>
  </si>
  <si>
    <t xml:space="preserve">FX row: Freeze = momentary; no Trails-feedback on a pad</t>
  </si>
  <si>
    <t xml:space="preserve">Ease keeps it as clip/look launch; Expert makes it the effects row at the bottom (your call). behaviour 1028 for launch.</t>
  </si>
  <si>
    <t xml:space="preserve">SCENE LAUNCH (right edge)</t>
  </si>
  <si>
    <t xml:space="preserve">Scene Launch 1-5</t>
  </si>
  <si>
    <t xml:space="preserve">5</t>
  </si>
  <si>
    <t xml:space="preserve">82-86 (capture)</t>
  </si>
  <si>
    <t xml:space="preserve">Composition looks / transit</t>
  </si>
  <si>
    <t xml:space="preserve">Composition looks 1-5 (Ableton-style scene launch)</t>
  </si>
  <si>
    <t xml:space="preserve">/composition/columns/C/connect</t>
  </si>
  <si>
    <t xml:space="preserve">Ableton scene-launch feel: one button fires a whole look. Bank L/R pages to columns 6+.</t>
  </si>
  <si>
    <t xml:space="preserve">Stop All Clips</t>
  </si>
  <si>
    <t xml:space="preserve">1</t>
  </si>
  <si>
    <t xml:space="preserve">81 (capture)</t>
  </si>
  <si>
    <t xml:space="preserve">Eject all playing clips</t>
  </si>
  <si>
    <t xml:space="preserve">/composition/disconnectall</t>
  </si>
  <si>
    <t xml:space="preserve">Value</t>
  </si>
  <si>
    <t xml:space="preserve">Matches its printed meaning and the factory map.</t>
  </si>
  <si>
    <t xml:space="preserve">CHANNEL STRIP</t>
  </si>
  <si>
    <t xml:space="preserve">Faders 1-4</t>
  </si>
  <si>
    <t xml:space="preserve">4</t>
  </si>
  <si>
    <t xml:space="preserve">CC</t>
  </si>
  <si>
    <t xml:space="preserve">CC7 ch1-4</t>
  </si>
  <si>
    <t xml:space="preserve">Layer opacity L1-L4</t>
  </si>
  <si>
    <t xml:space="preserve">Layer Master L1-L4 (Bed/Struct/Body/Pulse)</t>
  </si>
  <si>
    <t xml:space="preserve">/composition/layers/L/master</t>
  </si>
  <si>
    <t xml:space="preserve">Absolute</t>
  </si>
  <si>
    <t xml:space="preserve">Bed MIX optional floor 0.15</t>
  </si>
  <si>
    <t xml:space="preserve">Numeric mixer order 1..4 = L1..L4. Fader 7=CC7 ch7 rig-confirmed =&gt; faders send CC7 per channel.</t>
  </si>
  <si>
    <t xml:space="preserve">Faders 5-8</t>
  </si>
  <si>
    <t xml:space="preserve">CC7 ch5-8</t>
  </si>
  <si>
    <t xml:space="preserve">Unmapped (4-layer comp)</t>
  </si>
  <si>
    <t xml:space="preserve">Layer transition duration L1-L4 (0-2 s clamp)</t>
  </si>
  <si>
    <t xml:space="preserve">/composition/layers/L/transitiontime</t>
  </si>
  <si>
    <t xml:space="preserve">Range clamped 0-2 s (no accidental 10 s fades)</t>
  </si>
  <si>
    <t xml:space="preserve">Second L1-L4 bank = live transition control. Restrict range in the shortcut.</t>
  </si>
  <si>
    <t xml:space="preserve">Track Activator 1-8</t>
  </si>
  <si>
    <t xml:space="preserve">per Akai v1.2 (capture)</t>
  </si>
  <si>
    <t xml:space="preserve">Layer enable / bypass</t>
  </si>
  <si>
    <t xml:space="preserve">Strips 1-4 layer enable; 5-8 Ignore Column Trigger (HOLD)</t>
  </si>
  <si>
    <t xml:space="preserve">/composition/layers/L/bypassed</t>
  </si>
  <si>
    <t xml:space="preserve">Toggle</t>
  </si>
  <si>
    <t xml:space="preserve">LED lit = layer VISIBLE (swap MIDI-out colors)</t>
  </si>
  <si>
    <t xml:space="preserve">Primary visibility + column-launch protection on the utility bank.</t>
  </si>
  <si>
    <t xml:space="preserve">Solo / Cue 1-8</t>
  </si>
  <si>
    <t xml:space="preserve">unused</t>
  </si>
  <si>
    <t xml:space="preserve">Strips 1-4 Layer Solo; 5-8 Fader Start on/off</t>
  </si>
  <si>
    <t xml:space="preserve">/composition/layers/L/solo</t>
  </si>
  <si>
    <t xml:space="preserve">Retrigger clip when fading the layer up (fader start).</t>
  </si>
  <si>
    <t xml:space="preserve">Record Arm 1-8</t>
  </si>
  <si>
    <t xml:space="preserve">Composition FX 1-8 arm (mirrors Device knobs 1-8)</t>
  </si>
  <si>
    <t xml:space="preserve">/composition/video/effects/E/bypassed</t>
  </si>
  <si>
    <t xml:space="preserve">enum FX -&gt; button only; Freeze momentary</t>
  </si>
  <si>
    <t xml:space="preserve">One continuous global FX strip; button n arms, Device knob n shapes.</t>
  </si>
  <si>
    <t xml:space="preserve">Track Select 1-8</t>
  </si>
  <si>
    <t xml:space="preserve">(silent)</t>
  </si>
  <si>
    <t xml:space="preserve">Mode 0 = no MIDI</t>
  </si>
  <si>
    <t xml:space="preserve">Hardware bank for Device knobs across layers</t>
  </si>
  <si>
    <t xml:space="preserve">(re-channels CC16-23)</t>
  </si>
  <si>
    <t xml:space="preserve">Position-dump snap on switch (no soft takeover)</t>
  </si>
  <si>
    <t xml:space="preserve">Akai v1.2: Track Select emits nothing to Resolume; it re-channels the Device knobs. This IS the Tier-B bank.</t>
  </si>
  <si>
    <t xml:space="preserve">Clip Stop 1-8</t>
  </si>
  <si>
    <t xml:space="preserve">Eject that layer</t>
  </si>
  <si>
    <t xml:space="preserve">Strips 1-4 eject layer; 5-8 set transition duration 0 (CUT)</t>
  </si>
  <si>
    <t xml:space="preserve">/composition/layers/L/clear</t>
  </si>
  <si>
    <t xml:space="preserve">Stop / clear semantics on both banks.</t>
  </si>
  <si>
    <t xml:space="preserve">SELECTED-CLIP KNOBS</t>
  </si>
  <si>
    <t xml:space="preserve">Track Control knobs 1-8</t>
  </si>
  <si>
    <t xml:space="preserve">CC48-55</t>
  </si>
  <si>
    <t xml:space="preserve">*** Selected-clip dashboard links 1-8 ***</t>
  </si>
  <si>
    <t xml:space="preserve">Selected-clip dashboard links 1-8</t>
  </si>
  <si>
    <t xml:space="preserve">/composition/selectedclip/dashboard/link1..8</t>
  </si>
  <si>
    <t xml:space="preserve">Selected</t>
  </si>
  <si>
    <t xml:space="preserve">dial ranges bound via startStop</t>
  </si>
  <si>
    <t xml:space="preserve">THE community tip and our proven Tier A. Rides the on-screen clip via the update-panels preference.</t>
  </si>
  <si>
    <t xml:space="preserve">Cue Level encoder</t>
  </si>
  <si>
    <t xml:space="preserve">relative (capture)</t>
  </si>
  <si>
    <t xml:space="preserve">Selected-clip playhead scrub</t>
  </si>
  <si>
    <t xml:space="preserve">/composition/selectedclip/transport/position</t>
  </si>
  <si>
    <t xml:space="preserve">Relative</t>
  </si>
  <si>
    <t xml:space="preserve">Natural use for the relative encoder.</t>
  </si>
  <si>
    <t xml:space="preserve">Pan / Sends / User</t>
  </si>
  <si>
    <t xml:space="preserve">3</t>
  </si>
  <si>
    <t xml:space="preserve">Selected-clip Loop / Bounce / Once mode</t>
  </si>
  <si>
    <t xml:space="preserve">/composition/selectedclip/transport/...</t>
  </si>
  <si>
    <t xml:space="preserve">Tape-label LOOP / BOUNCE / ONCE.</t>
  </si>
  <si>
    <t xml:space="preserve">DEVICE KNOBS</t>
  </si>
  <si>
    <t xml:space="preserve">Device Control knobs 1-8</t>
  </si>
  <si>
    <t xml:space="preserve">CC16-23</t>
  </si>
  <si>
    <t xml:space="preserve">unused (Ease stays on Track knobs)</t>
  </si>
  <si>
    <t xml:space="preserve">Tier B: banked LAYER dashboard links 1-8</t>
  </si>
  <si>
    <t xml:space="preserve">/composition/layers/L/dashboard/link1..8</t>
  </si>
  <si>
    <t xml:space="preserve">Selected (banked)</t>
  </si>
  <si>
    <t xml:space="preserve">full section-5 rails per slot</t>
  </si>
  <si>
    <t xml:space="preserve">Output-following layer effect rack; banked across layers by Track Select. Our cracked Tier B. Alt: fixed Composition FX amounts.</t>
  </si>
  <si>
    <t xml:space="preserve">DEVICE NAV</t>
  </si>
  <si>
    <t xml:space="preserve">Device On/Off</t>
  </si>
  <si>
    <t xml:space="preserve">Selected clip Forward &lt;-&gt; Pause</t>
  </si>
  <si>
    <t xml:space="preserve">Matches device transport semantics.</t>
  </si>
  <si>
    <t xml:space="preserve">Device Left / Right</t>
  </si>
  <si>
    <t xml:space="preserve">2</t>
  </si>
  <si>
    <t xml:space="preserve">Prev / next clip on selected layer</t>
  </si>
  <si>
    <t xml:space="preserve">/composition/selectedlayer/clips/.../select</t>
  </si>
  <si>
    <t xml:space="preserve">Dynamic counterpart to fixed per-layer pads.</t>
  </si>
  <si>
    <t xml:space="preserve">Device Bank Left / Right</t>
  </si>
  <si>
    <t xml:space="preserve">Prev / next deck</t>
  </si>
  <si>
    <t xml:space="preserve">/composition/decks/...</t>
  </si>
  <si>
    <t xml:space="preserve">Verified factory assignment; cycles decks.</t>
  </si>
  <si>
    <t xml:space="preserve">Device Lock</t>
  </si>
  <si>
    <t xml:space="preserve">Selected layer Ignore Column Trigger</t>
  </si>
  <si>
    <t xml:space="preserve">/composition/selectedlayer/ignorecolumntrigger</t>
  </si>
  <si>
    <t xml:space="preserve">NOT Lock Content (7.27.1 does not expose it as MIDI-mappable). Pre-lock Bed manually if absolute.</t>
  </si>
  <si>
    <t xml:space="preserve">Clip / Device View</t>
  </si>
  <si>
    <t xml:space="preserve">Reset selected-clip dashboard values</t>
  </si>
  <si>
    <t xml:space="preserve">/composition/selectedclip/dashboard/...</t>
  </si>
  <si>
    <t xml:space="preserve">Local recovery.</t>
  </si>
  <si>
    <t xml:space="preserve">Detail View</t>
  </si>
  <si>
    <t xml:space="preserve">Reset composition dashboard values</t>
  </si>
  <si>
    <t xml:space="preserve">/composition/dashboard/...</t>
  </si>
  <si>
    <t xml:space="preserve">Global parameter recovery.</t>
  </si>
  <si>
    <t xml:space="preserve">Master (Track Select)</t>
  </si>
  <si>
    <t xml:space="preserve">Select / preview Composition</t>
  </si>
  <si>
    <t xml:space="preserve">/composition/select</t>
  </si>
  <si>
    <t xml:space="preserve">Verified factory assignment.</t>
  </si>
  <si>
    <t xml:space="preserve">BANK / SHIFT</t>
  </si>
  <si>
    <t xml:space="preserve">Bank Select Left / Right</t>
  </si>
  <si>
    <t xml:space="preserve">Prev / next column</t>
  </si>
  <si>
    <t xml:space="preserve">Prev / next composition column</t>
  </si>
  <si>
    <t xml:space="preserve">/composition/columns/...</t>
  </si>
  <si>
    <t xml:space="preserve">Verified factory behavior; pages the scene looks.</t>
  </si>
  <si>
    <t xml:space="preserve">Bank Select Up / Down</t>
  </si>
  <si>
    <t xml:space="preserve">Up = select L4 Pulse; Down = select L1 Bed</t>
  </si>
  <si>
    <t xml:space="preserve">/composition/layers/L/select</t>
  </si>
  <si>
    <t xml:space="preserve">Direct top/bottom layer jump.</t>
  </si>
  <si>
    <t xml:space="preserve">Shift (standalone)</t>
  </si>
  <si>
    <t xml:space="preserve">CLEAN FX: bypass performance FX + reset their dashboards</t>
  </si>
  <si>
    <t xml:space="preserve">(multiple FX bypass + neutral values)</t>
  </si>
  <si>
    <t xml:space="preserve">leaves clips / levels / master untouched</t>
  </si>
  <si>
    <t xml:space="preserve">Native presets can't do Shift+chord; Shift is a flat CLEAN button.</t>
  </si>
  <si>
    <t xml:space="preserve">Main / Bank button</t>
  </si>
  <si>
    <t xml:space="preserve">Select Deck 1 (HOME)</t>
  </si>
  <si>
    <t xml:space="preserve">/composition/decks/1/select</t>
  </si>
  <si>
    <t xml:space="preserve">Known recovery point.</t>
  </si>
  <si>
    <t xml:space="preserve">TRANSPORT</t>
  </si>
  <si>
    <t xml:space="preserve">Play</t>
  </si>
  <si>
    <t xml:space="preserve">Global Forward &lt;-&gt; Pause</t>
  </si>
  <si>
    <t xml:space="preserve">/composition/transport</t>
  </si>
  <si>
    <t xml:space="preserve">Composition-wide transport.</t>
  </si>
  <si>
    <t xml:space="preserve">Record</t>
  </si>
  <si>
    <t xml:space="preserve">Output recording toggle</t>
  </si>
  <si>
    <t xml:space="preserve">/composition/record</t>
  </si>
  <si>
    <t xml:space="preserve">configure source/duration beforehand</t>
  </si>
  <si>
    <t xml:space="preserve">Printed meaning.</t>
  </si>
  <si>
    <t xml:space="preserve">Session</t>
  </si>
  <si>
    <t xml:space="preserve">Composition Bypass / blackout (latched)</t>
  </si>
  <si>
    <t xml:space="preserve">/composition/bypassed</t>
  </si>
  <si>
    <t xml:space="preserve">latched blackout - label clearly</t>
  </si>
  <si>
    <t xml:space="preserve">Dedicated blackout.</t>
  </si>
  <si>
    <t xml:space="preserve">Metronome</t>
  </si>
  <si>
    <t xml:space="preserve">BPM Resync</t>
  </si>
  <si>
    <t xml:space="preserve">/composition/tempocontroller/resync</t>
  </si>
  <si>
    <t xml:space="preserve">Factory role.</t>
  </si>
  <si>
    <t xml:space="preserve">Tap Tempo</t>
  </si>
  <si>
    <t xml:space="preserve">BPM Tap</t>
  </si>
  <si>
    <t xml:space="preserve">/composition/tempocontroller/tempotap</t>
  </si>
  <si>
    <t xml:space="preserve">Nudge - / +</t>
  </si>
  <si>
    <t xml:space="preserve">BPM nudge down / up</t>
  </si>
  <si>
    <t xml:space="preserve">/composition/tempocontroller/...</t>
  </si>
  <si>
    <t xml:space="preserve">Piano</t>
  </si>
  <si>
    <t xml:space="preserve">Hold-and-release.</t>
  </si>
  <si>
    <t xml:space="preserve">Tempo encoder</t>
  </si>
  <si>
    <t xml:space="preserve">BPM adjust</t>
  </si>
  <si>
    <t xml:space="preserve">/composition/tempocontroller/tempo</t>
  </si>
  <si>
    <t xml:space="preserve">Natural tempo control.</t>
  </si>
  <si>
    <t xml:space="preserve">MASTER / XFADER</t>
  </si>
  <si>
    <t xml:space="preserve">Master fader</t>
  </si>
  <si>
    <t xml:space="preserve">CC14 (capture)</t>
  </si>
  <si>
    <t xml:space="preserve">Composition master</t>
  </si>
  <si>
    <t xml:space="preserve">/composition/master</t>
  </si>
  <si>
    <t xml:space="preserve">Comp master opacity.</t>
  </si>
  <si>
    <t xml:space="preserve">Crossfader</t>
  </si>
  <si>
    <t xml:space="preserve">CC15 (capture)</t>
  </si>
  <si>
    <t xml:space="preserve">DRY &lt;-&gt; PERFORMANCE FX (Crossfader Phase)</t>
  </si>
  <si>
    <t xml:space="preserve">/composition/crossfader/phase -&gt; FX opacity 4-7</t>
  </si>
  <si>
    <t xml:space="preserve">excludes opacity / Freeze / blackout / strobe / feedback</t>
  </si>
  <si>
    <t xml:space="preserve">Option A for 4 complementary layers. Native A/B bus only after an A/B group redesign.</t>
  </si>
  <si>
    <t xml:space="preserve">Canonical 8-Slot Dial Scheme</t>
  </si>
  <si>
    <t xml:space="preserve">Slot</t>
  </si>
  <si>
    <t xml:space="preserve">Label</t>
  </si>
  <si>
    <t xml:space="preserve">Role / meaning</t>
  </si>
  <si>
    <t xml:space="preserve">Tier A (selected-clip) example</t>
  </si>
  <si>
    <t xml:space="preserve">Tier B (layer rack) example</t>
  </si>
  <si>
    <t xml:space="preserve">MIX</t>
  </si>
  <si>
    <t xml:space="preserve">Overall level / presence</t>
  </si>
  <si>
    <t xml:space="preserve">Clip opacity</t>
  </si>
  <si>
    <t xml:space="preserve">Layer opacity (Master)</t>
  </si>
  <si>
    <t xml:space="preserve">Bed/bottom layer optional floor 0.15</t>
  </si>
  <si>
    <t xml:space="preserve">RATE</t>
  </si>
  <si>
    <t xml:space="preserve">Speed / tempo feel</t>
  </si>
  <si>
    <t xml:space="preserve">Clip speed</t>
  </si>
  <si>
    <t xml:space="preserve">Layer speed proxy</t>
  </si>
  <si>
    <t xml:space="preserve">Speed floor 0.05, soft cap 0.75</t>
  </si>
  <si>
    <t xml:space="preserve">ENERGY</t>
  </si>
  <si>
    <t xml:space="preserve">Intensity / accumulation</t>
  </si>
  <si>
    <t xml:space="preserve">Source energy param</t>
  </si>
  <si>
    <t xml:space="preserve">Trails Feedback</t>
  </si>
  <si>
    <t xml:space="preserve">CAP 0.95 (1.0 = infinite freeze)</t>
  </si>
  <si>
    <t xml:space="preserve">COLOR</t>
  </si>
  <si>
    <t xml:space="preserve">Hue</t>
  </si>
  <si>
    <t xml:space="preserve">Source hue channel</t>
  </si>
  <si>
    <t xml:space="preserve">Hue Rotate amount</t>
  </si>
  <si>
    <t xml:space="preserve">Needs Saturation &gt;=0.75 &amp; Brightness &gt;0</t>
  </si>
  <si>
    <t xml:space="preserve">SIZE</t>
  </si>
  <si>
    <t xml:space="preserve">Scale / zoom / pixel</t>
  </si>
  <si>
    <t xml:space="preserve">Source scale</t>
  </si>
  <si>
    <t xml:space="preserve">LoRez Pixel Size</t>
  </si>
  <si>
    <t xml:space="preserve">Scale floor 0.10, cap ~3x</t>
  </si>
  <si>
    <t xml:space="preserve">6</t>
  </si>
  <si>
    <t xml:space="preserve">SPACE</t>
  </si>
  <si>
    <t xml:space="preserve">Position / depth</t>
  </si>
  <si>
    <t xml:space="preserve">Source position (limited)</t>
  </si>
  <si>
    <t xml:space="preserve">Spatial FX amount</t>
  </si>
  <si>
    <t xml:space="preserve">Position +-25% travel, or off knobs</t>
  </si>
  <si>
    <t xml:space="preserve">7</t>
  </si>
  <si>
    <t xml:space="preserve">TEXTURE</t>
  </si>
  <si>
    <t xml:space="preserve">Grain / detail</t>
  </si>
  <si>
    <t xml:space="preserve">Source texture</t>
  </si>
  <si>
    <t xml:space="preserve">CRT / Shift RGB</t>
  </si>
  <si>
    <t xml:space="preserve">Shift RGB offsets +-0.08-0.12</t>
  </si>
  <si>
    <t xml:space="preserve">MORPH</t>
  </si>
  <si>
    <t xml:space="preserve">Shape distortion</t>
  </si>
  <si>
    <t xml:space="preserve">Source morph</t>
  </si>
  <si>
    <t xml:space="preserve">Shift RGB Distance</t>
  </si>
  <si>
    <t xml:space="preserve">Rings Gap &lt;=330 deg</t>
  </si>
  <si>
    <t xml:space="preserve">Safety Rails (generator defaults, overridable per comp)</t>
  </si>
  <si>
    <t xml:space="preserve">Rail</t>
  </si>
  <si>
    <t xml:space="preserve">Default</t>
  </si>
  <si>
    <t xml:space="preserve">Why it matters</t>
  </si>
  <si>
    <t xml:space="preserve">0-0.95 (hard ceiling 0.97)</t>
  </si>
  <si>
    <t xml:space="preserve">At 1.0 the output locks in an infinite freeze - the footgun this kit removed</t>
  </si>
  <si>
    <t xml:space="preserve">Freeze effect</t>
  </si>
  <si>
    <t xml:space="preserve">Momentary only; never a bare pad; never paired with a feedback knob reaching 1.0</t>
  </si>
  <si>
    <t xml:space="preserve">Unrecoverable frozen output</t>
  </si>
  <si>
    <t xml:space="preserve">Strobe / Stroboscope</t>
  </si>
  <si>
    <t xml:space="preserve">Off knobs; BPM-synced + momentary ARM button</t>
  </si>
  <si>
    <t xml:space="preserve">Photosensitivity (seizure risk)</t>
  </si>
  <si>
    <t xml:space="preserve">Any Speed</t>
  </si>
  <si>
    <t xml:space="preserve">Floor 0.05 (no dead-freeze), soft cap ~0.75</t>
  </si>
  <si>
    <t xml:space="preserve">Frozen or runaway playback</t>
  </si>
  <si>
    <t xml:space="preserve">Scale / Density</t>
  </si>
  <si>
    <t xml:space="preserve">Scale floor 0.10 cap ~3x; Density/Count floor 1</t>
  </si>
  <si>
    <t xml:space="preserve">Blank frame or GPU spike</t>
  </si>
  <si>
    <t xml:space="preserve">Position X/Y</t>
  </si>
  <si>
    <t xml:space="preserve">+-25% travel, or off knobs (text crawl exempt)</t>
  </si>
  <si>
    <t xml:space="preserve">Content pushed off-screen</t>
  </si>
  <si>
    <t xml:space="preserve">Bloom</t>
  </si>
  <si>
    <t xml:space="preserve">Amount &lt;=0.7, Threshold 0.15-0.95</t>
  </si>
  <si>
    <t xml:space="preserve">Low-threshold + max-amount + Add/Screen = white-out</t>
  </si>
  <si>
    <t xml:space="preserve">Shift RGB</t>
  </si>
  <si>
    <t xml:space="preserve">Channel offsets +-0.08-0.12; Rings Gap &lt;=330 deg</t>
  </si>
  <si>
    <t xml:space="preserve">Image becomes unrecognizable</t>
  </si>
  <si>
    <t xml:space="preserve">Video Router Input</t>
  </si>
  <si>
    <t xml:space="preserve">enum -&gt; button only; exclude the router's own host layer</t>
  </si>
  <si>
    <t xml:space="preserve">Self-input = recursive feedback loop, GPU spike</t>
  </si>
  <si>
    <t xml:space="preserve">Enum / boolean / Blend / Input</t>
  </si>
  <si>
    <t xml:space="preserve">BUTTONS only, never ParamRange dials</t>
  </si>
  <si>
    <t xml:space="preserve">Choice params jump/break on a dial</t>
  </si>
  <si>
    <t xml:space="preserve">Bed / bottom-layer MIX</t>
  </si>
  <si>
    <t xml:space="preserve">Optional floor 0.15 (bed_blackout_guard)</t>
  </si>
  <si>
    <t xml:space="preserve">Accidental full blackout</t>
  </si>
  <si>
    <t xml:space="preserve">Crossfader FX</t>
  </si>
  <si>
    <t xml:space="preserve">Exclude opacity / Freeze / blackout / strobe / unrestricted feedback</t>
  </si>
  <si>
    <t xml:space="preserve">Crossfader could lock the output</t>
  </si>
  <si>
    <t xml:space="preserve">Faders 5-8 (transition)</t>
  </si>
  <si>
    <t xml:space="preserve">Clamp range to 0-2 s</t>
  </si>
  <si>
    <t xml:space="preserve">Accidental 10 s transition mid-set</t>
  </si>
  <si>
    <t xml:space="preserve">Three Shippable Profiles</t>
  </si>
  <si>
    <t xml:space="preserve">Attribute</t>
  </si>
  <si>
    <t xml:space="preserve">Ease-of-Use</t>
  </si>
  <si>
    <t xml:space="preserve">Expert</t>
  </si>
  <si>
    <t xml:space="preserve">Generic (any vibe comp)</t>
  </si>
  <si>
    <t xml:space="preserve">Purpose</t>
  </si>
  <si>
    <t xml:space="preserve">Load-and-go; the community tip made real</t>
  </si>
  <si>
    <t xml:space="preserve">The full rig - every control mapped</t>
  </si>
  <si>
    <t xml:space="preserve">Correct-by-construction for unknown comps</t>
  </si>
  <si>
    <t xml:space="preserve">Grid rows 1-4</t>
  </si>
  <si>
    <t xml:space="preserve">Clips mirror comp, Pulse (L4) on top row</t>
  </si>
  <si>
    <t xml:space="preserve">Same - Pulse on top row</t>
  </si>
  <si>
    <t xml:space="preserve">Same - top grid row = top layer</t>
  </si>
  <si>
    <t xml:space="preserve">Grid row 5 (bottom)</t>
  </si>
  <si>
    <t xml:space="preserve">Composition looks / clip launch</t>
  </si>
  <si>
    <t xml:space="preserve">FX PUNCH ROW (8 comp-FX toggles)</t>
  </si>
  <si>
    <t xml:space="preserve">Composition looks</t>
  </si>
  <si>
    <t xml:space="preserve">Track knobs (CC48-55)</t>
  </si>
  <si>
    <t xml:space="preserve">Selected-clip dashboard 1-8  &lt;== the tip</t>
  </si>
  <si>
    <t xml:space="preserve">Selected-clip dashboard 1-8</t>
  </si>
  <si>
    <t xml:space="preserve">Selected-clip dashboard 1-8 (once populated)</t>
  </si>
  <si>
    <t xml:space="preserve">Device knobs (CC16-23)</t>
  </si>
  <si>
    <t xml:space="preserve">Unused</t>
  </si>
  <si>
    <t xml:space="preserve">Banked layer dashboards 1-8 (Tier B)</t>
  </si>
  <si>
    <t xml:space="preserve">Banked layer dashboards (always correct)</t>
  </si>
  <si>
    <t xml:space="preserve">Faders</t>
  </si>
  <si>
    <t xml:space="preserve">Layer opacity</t>
  </si>
  <si>
    <t xml:space="preserve">Layer Master + transition-duration bank</t>
  </si>
  <si>
    <t xml:space="preserve">Layer Master</t>
  </si>
  <si>
    <t xml:space="preserve">Scene buttons</t>
  </si>
  <si>
    <t xml:space="preserve">Looks / transit</t>
  </si>
  <si>
    <t xml:space="preserve">Looks 1-5 (Ableton scene launch)</t>
  </si>
  <si>
    <t xml:space="preserve">Transport</t>
  </si>
  <si>
    <t xml:space="preserve">Play + Tap Tempo</t>
  </si>
  <si>
    <t xml:space="preserve">Full transport + blackout + recording</t>
  </si>
  <si>
    <t xml:space="preserve">Native crossfader</t>
  </si>
  <si>
    <t xml:space="preserve">DRY &lt;-&gt; Performance FX (phase)</t>
  </si>
  <si>
    <t xml:space="preserve">Ships when</t>
  </si>
  <si>
    <t xml:space="preserve">Instantly, for any comp</t>
  </si>
  <si>
    <t xml:space="preserve">After UI specimens captured for new species</t>
  </si>
  <si>
    <t xml:space="preserve">Instantly, before the .avc transformer runs</t>
  </si>
  <si>
    <t xml:space="preserve">Provenance</t>
  </si>
  <si>
    <t xml:space="preserve">PROVEN core + PROPOSED extras</t>
  </si>
  <si>
    <t xml:space="preserve">DOC (layer-dashboard guarantee)</t>
  </si>
  <si>
    <t xml:space="preserve">Verification Checklist (clean up every loose end)</t>
  </si>
  <si>
    <t xml:space="preserve">Yellow Status cells are for you to fill: PASS / FAIL / n-a. Row 'ex' shows the format.</t>
  </si>
  <si>
    <t xml:space="preserve">#</t>
  </si>
  <si>
    <t xml:space="preserve">Check</t>
  </si>
  <si>
    <t xml:space="preserve">How</t>
  </si>
  <si>
    <t xml:space="preserve">Expected result</t>
  </si>
  <si>
    <t xml:space="preserve">Status</t>
  </si>
  <si>
    <t xml:space="preserve">ex</t>
  </si>
  <si>
    <t xml:space="preserve">(example row)</t>
  </si>
  <si>
    <t xml:space="preserve">PASS (example)</t>
  </si>
  <si>
    <t xml:space="preserve">Preset integrity</t>
  </si>
  <si>
    <t xml:space="preserve">AST/XML parse; count shortcuts, unique ids, unique MIDI keys</t>
  </si>
  <si>
    <t xml:space="preserve">count = unique ids = unique MIDI keys</t>
  </si>
  <si>
    <t xml:space="preserve">No CC in both tiers</t>
  </si>
  <si>
    <t xml:space="preserve">Search CC48-55 and CC16-23</t>
  </si>
  <si>
    <t xml:space="preserve">Each appears in only one tier</t>
  </si>
  <si>
    <t xml:space="preserve">Encoding</t>
  </si>
  <si>
    <t xml:space="preserve">Check file bytes</t>
  </si>
  <si>
    <t xml:space="preserve">UTF-8, no BOM, CRLF</t>
  </si>
  <si>
    <t xml:space="preserve">Nothing unmapped</t>
  </si>
  <si>
    <t xml:space="preserve">See Read Me live summary</t>
  </si>
  <si>
    <t xml:space="preserve">Expert-column blanks = 0</t>
  </si>
  <si>
    <t xml:space="preserve">Follow preference ON</t>
  </si>
  <si>
    <t xml:space="preserve">Resolume Prefs &gt; General</t>
  </si>
  <si>
    <t xml:space="preserve">'Update clip panels on external triggers' checked</t>
  </si>
  <si>
    <t xml:space="preserve">M1 follow test</t>
  </si>
  <si>
    <t xml:space="preserve">Launch clip A then B</t>
  </si>
  <si>
    <t xml:space="preserve">Track knobs ride the on-screen clip</t>
  </si>
  <si>
    <t xml:space="preserve">Trails cap</t>
  </si>
  <si>
    <t xml:space="preserve">Pin a Trails dial to max</t>
  </si>
  <si>
    <t xml:space="preserve">Image still decays - no freeze</t>
  </si>
  <si>
    <t xml:space="preserve">Enum guard</t>
  </si>
  <si>
    <t xml:space="preserve">Inspect dials</t>
  </si>
  <si>
    <t xml:space="preserve">No choice/enum param wired to a knob</t>
  </si>
  <si>
    <t xml:space="preserve">9</t>
  </si>
  <si>
    <t xml:space="preserve">Video Router</t>
  </si>
  <si>
    <t xml:space="preserve">Inspect router inputs</t>
  </si>
  <si>
    <t xml:space="preserve">Router cannot select its own host layer</t>
  </si>
  <si>
    <t xml:space="preserve">10</t>
  </si>
  <si>
    <t xml:space="preserve">Grid orientation</t>
  </si>
  <si>
    <t xml:space="preserve">Launch a top-row pad</t>
  </si>
  <si>
    <t xml:space="preserve">Fires the TOP layer (Pulse)</t>
  </si>
  <si>
    <t xml:space="preserve">11</t>
  </si>
  <si>
    <t xml:space="preserve">Cold-restart round-trip</t>
  </si>
  <si>
    <t xml:space="preserve">Save, restart Resolume, retest 6/7/10</t>
  </si>
  <si>
    <t xml:space="preserve">Links, ranges, uniqueIds, siblings survive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</si>
</sst>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C6EFCE"/>
        <bgColor rgb="FFDDEBF7"/>
      </patternFill>
    </fill>
    <fill>
      <patternFill patternType="solid">
        <fgColor rgb="FFDDEBF7"/>
        <bgColor rgb="FFCCFFFF"/>
      </patternFill>
    </fill>
    <fill>
      <patternFill patternType="solid">
        <fgColor rgb="FFFFF2CC"/>
        <bgColor rgb="FFFCE4D6"/>
      </patternFill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  <fill>
      <patternFill patternType="solid">
        <fgColor rgb="FFFFFF9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9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4"/>
    </row>
    <row r="5" customFormat="false" ht="15" hidden="false" customHeight="false" outlineLevel="0" collapsed="false">
      <c r="A5" s="3" t="s">
        <v>2</v>
      </c>
      <c r="B5" s="4" t="s">
        <v>3</v>
      </c>
    </row>
    <row r="6" customFormat="false" ht="15" hidden="false" customHeight="false" outlineLevel="0" collapsed="false">
      <c r="A6" s="3"/>
      <c r="B6" s="4" t="s">
        <v>4</v>
      </c>
    </row>
    <row r="7" customFormat="false" ht="15" hidden="false" customHeight="false" outlineLevel="0" collapsed="false">
      <c r="A7" s="3"/>
      <c r="B7" s="4" t="s">
        <v>5</v>
      </c>
    </row>
    <row r="8" customFormat="false" ht="15" hidden="false" customHeight="false" outlineLevel="0" collapsed="false">
      <c r="A8" s="3"/>
      <c r="B8" s="4"/>
    </row>
    <row r="9" customFormat="false" ht="15" hidden="false" customHeight="false" outlineLevel="0" collapsed="false">
      <c r="A9" s="3" t="s">
        <v>6</v>
      </c>
      <c r="B9" s="4" t="s">
        <v>7</v>
      </c>
    </row>
    <row r="10" customFormat="false" ht="15" hidden="false" customHeight="false" outlineLevel="0" collapsed="false">
      <c r="A10" s="5" t="s">
        <v>8</v>
      </c>
      <c r="B10" s="4" t="s">
        <v>9</v>
      </c>
    </row>
    <row r="11" customFormat="false" ht="15" hidden="false" customHeight="false" outlineLevel="0" collapsed="false">
      <c r="A11" s="6" t="s">
        <v>10</v>
      </c>
      <c r="B11" s="4" t="s">
        <v>11</v>
      </c>
    </row>
    <row r="12" customFormat="false" ht="15" hidden="false" customHeight="false" outlineLevel="0" collapsed="false">
      <c r="A12" s="7" t="s">
        <v>12</v>
      </c>
      <c r="B12" s="4" t="s">
        <v>13</v>
      </c>
    </row>
    <row r="13" customFormat="false" ht="15" hidden="false" customHeight="false" outlineLevel="0" collapsed="false">
      <c r="A13" s="3"/>
      <c r="B13" s="4" t="s">
        <v>14</v>
      </c>
    </row>
    <row r="14" customFormat="false" ht="15" hidden="false" customHeight="false" outlineLevel="0" collapsed="false">
      <c r="A14" s="3"/>
      <c r="B14" s="4"/>
    </row>
    <row r="15" customFormat="false" ht="15" hidden="false" customHeight="false" outlineLevel="0" collapsed="false">
      <c r="A15" s="3" t="s">
        <v>15</v>
      </c>
      <c r="B15" s="4" t="s">
        <v>16</v>
      </c>
    </row>
    <row r="16" customFormat="false" ht="15" hidden="false" customHeight="false" outlineLevel="0" collapsed="false">
      <c r="A16" s="3"/>
      <c r="B16" s="4" t="s">
        <v>17</v>
      </c>
    </row>
    <row r="17" customFormat="false" ht="15" hidden="false" customHeight="false" outlineLevel="0" collapsed="false">
      <c r="A17" s="3" t="s">
        <v>18</v>
      </c>
      <c r="B17" s="4" t="s">
        <v>19</v>
      </c>
    </row>
    <row r="18" customFormat="false" ht="15" hidden="false" customHeight="false" outlineLevel="0" collapsed="false">
      <c r="A18" s="3"/>
      <c r="B18" s="4"/>
    </row>
    <row r="19" customFormat="false" ht="15" hidden="false" customHeight="false" outlineLevel="0" collapsed="false">
      <c r="A19" s="3" t="s">
        <v>20</v>
      </c>
      <c r="B19" s="4" t="s">
        <v>21</v>
      </c>
    </row>
    <row r="20" customFormat="false" ht="15" hidden="false" customHeight="false" outlineLevel="0" collapsed="false">
      <c r="A20" s="3" t="s">
        <v>22</v>
      </c>
      <c r="B20" s="4" t="s">
        <v>23</v>
      </c>
    </row>
    <row r="22" customFormat="false" ht="15" hidden="false" customHeight="false" outlineLevel="0" collapsed="false">
      <c r="A22" s="8" t="s">
        <v>24</v>
      </c>
      <c r="B22" s="9"/>
    </row>
    <row r="23" customFormat="false" ht="15" hidden="false" customHeight="false" outlineLevel="0" collapsed="false">
      <c r="A23" s="4" t="s">
        <v>25</v>
      </c>
      <c r="B23" s="3" t="n">
        <f aca="false">COUNTA('Control Map'!K5:K42)</f>
        <v>38</v>
      </c>
    </row>
    <row r="24" customFormat="false" ht="15" hidden="false" customHeight="false" outlineLevel="0" collapsed="false">
      <c r="A24" s="4" t="s">
        <v>26</v>
      </c>
      <c r="B24" s="10" t="n">
        <f aca="false">COUNTIF('Control Map'!K5:K42,"PROVEN")</f>
        <v>3</v>
      </c>
    </row>
    <row r="25" customFormat="false" ht="15" hidden="false" customHeight="false" outlineLevel="0" collapsed="false">
      <c r="A25" s="4" t="s">
        <v>27</v>
      </c>
      <c r="B25" s="11" t="n">
        <f aca="false">COUNTIF('Control Map'!K5:K42,"DOC")</f>
        <v>15</v>
      </c>
    </row>
    <row r="26" customFormat="false" ht="15" hidden="false" customHeight="false" outlineLevel="0" collapsed="false">
      <c r="A26" s="4" t="s">
        <v>28</v>
      </c>
      <c r="B26" s="12" t="n">
        <f aca="false">COUNTIF('Control Map'!K5:K42,"PROPOSED")</f>
        <v>20</v>
      </c>
    </row>
    <row r="27" customFormat="false" ht="15" hidden="false" customHeight="false" outlineLevel="0" collapsed="false">
      <c r="A27" s="3" t="s">
        <v>29</v>
      </c>
      <c r="B27" s="3" t="n">
        <f aca="false">COUNTBLANK('Control Map'!G5:G42)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5"/>
    <col collapsed="false" customWidth="true" hidden="false" outlineLevel="0" max="4" min="4" style="0" width="7"/>
    <col collapsed="false" customWidth="true" hidden="false" outlineLevel="0" max="5" min="5" style="0" width="17"/>
    <col collapsed="false" customWidth="true" hidden="false" outlineLevel="0" max="6" min="6" style="0" width="30"/>
    <col collapsed="false" customWidth="true" hidden="false" outlineLevel="0" max="8" min="7" style="0" width="34"/>
    <col collapsed="false" customWidth="true" hidden="false" outlineLevel="0" max="9" min="9" style="0" width="15"/>
    <col collapsed="false" customWidth="true" hidden="false" outlineLevel="0" max="10" min="10" style="0" width="26"/>
    <col collapsed="false" customWidth="true" hidden="false" outlineLevel="0" max="11" min="11" style="0" width="10"/>
    <col collapsed="false" customWidth="true" hidden="false" outlineLevel="0" max="12" min="12" style="0" width="40"/>
  </cols>
  <sheetData>
    <row r="1" customFormat="false" ht="19.7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4" customFormat="false" ht="15" hidden="false" customHeight="false" outlineLevel="0" collapsed="false">
      <c r="A4" s="13" t="s">
        <v>32</v>
      </c>
      <c r="B4" s="13" t="s">
        <v>33</v>
      </c>
      <c r="C4" s="13" t="s">
        <v>34</v>
      </c>
      <c r="D4" s="13" t="s">
        <v>35</v>
      </c>
      <c r="E4" s="13" t="s">
        <v>36</v>
      </c>
      <c r="F4" s="13" t="s">
        <v>37</v>
      </c>
      <c r="G4" s="13" t="s">
        <v>38</v>
      </c>
      <c r="H4" s="13" t="s">
        <v>39</v>
      </c>
      <c r="I4" s="13" t="s">
        <v>40</v>
      </c>
      <c r="J4" s="13" t="s">
        <v>41</v>
      </c>
      <c r="K4" s="13" t="s">
        <v>42</v>
      </c>
      <c r="L4" s="13" t="s">
        <v>43</v>
      </c>
    </row>
    <row r="5" customFormat="false" ht="23.85" hidden="false" customHeight="false" outlineLevel="0" collapsed="false">
      <c r="A5" s="14" t="s">
        <v>44</v>
      </c>
      <c r="B5" s="15" t="s">
        <v>45</v>
      </c>
      <c r="C5" s="15" t="s">
        <v>46</v>
      </c>
      <c r="D5" s="15" t="s">
        <v>47</v>
      </c>
      <c r="E5" s="15" t="s">
        <v>48</v>
      </c>
      <c r="F5" s="15" t="s">
        <v>49</v>
      </c>
      <c r="G5" s="15" t="s">
        <v>49</v>
      </c>
      <c r="H5" s="15" t="s">
        <v>50</v>
      </c>
      <c r="I5" s="15" t="s">
        <v>51</v>
      </c>
      <c r="J5" s="15" t="s">
        <v>52</v>
      </c>
      <c r="K5" s="16" t="s">
        <v>8</v>
      </c>
      <c r="L5" s="15" t="s">
        <v>53</v>
      </c>
    </row>
    <row r="6" customFormat="false" ht="23.85" hidden="false" customHeight="false" outlineLevel="0" collapsed="false">
      <c r="A6" s="15" t="s">
        <v>44</v>
      </c>
      <c r="B6" s="15" t="s">
        <v>54</v>
      </c>
      <c r="C6" s="15" t="s">
        <v>46</v>
      </c>
      <c r="D6" s="15" t="s">
        <v>47</v>
      </c>
      <c r="E6" s="15" t="s">
        <v>55</v>
      </c>
      <c r="F6" s="15" t="s">
        <v>56</v>
      </c>
      <c r="G6" s="15" t="s">
        <v>56</v>
      </c>
      <c r="H6" s="15" t="s">
        <v>57</v>
      </c>
      <c r="I6" s="15" t="s">
        <v>51</v>
      </c>
      <c r="J6" s="15" t="s">
        <v>52</v>
      </c>
      <c r="K6" s="17" t="s">
        <v>10</v>
      </c>
      <c r="L6" s="15" t="s">
        <v>58</v>
      </c>
    </row>
    <row r="7" customFormat="false" ht="15" hidden="false" customHeight="false" outlineLevel="0" collapsed="false">
      <c r="A7" s="15" t="s">
        <v>44</v>
      </c>
      <c r="B7" s="15" t="s">
        <v>59</v>
      </c>
      <c r="C7" s="15" t="s">
        <v>46</v>
      </c>
      <c r="D7" s="15" t="s">
        <v>47</v>
      </c>
      <c r="E7" s="15" t="s">
        <v>60</v>
      </c>
      <c r="F7" s="15" t="s">
        <v>61</v>
      </c>
      <c r="G7" s="15" t="s">
        <v>61</v>
      </c>
      <c r="H7" s="15" t="s">
        <v>62</v>
      </c>
      <c r="I7" s="15" t="s">
        <v>51</v>
      </c>
      <c r="J7" s="15" t="s">
        <v>52</v>
      </c>
      <c r="K7" s="17" t="s">
        <v>10</v>
      </c>
      <c r="L7" s="15"/>
    </row>
    <row r="8" customFormat="false" ht="23.85" hidden="false" customHeight="false" outlineLevel="0" collapsed="false">
      <c r="A8" s="15" t="s">
        <v>44</v>
      </c>
      <c r="B8" s="15" t="s">
        <v>63</v>
      </c>
      <c r="C8" s="15" t="s">
        <v>46</v>
      </c>
      <c r="D8" s="15" t="s">
        <v>47</v>
      </c>
      <c r="E8" s="15" t="s">
        <v>64</v>
      </c>
      <c r="F8" s="15" t="s">
        <v>65</v>
      </c>
      <c r="G8" s="15" t="s">
        <v>65</v>
      </c>
      <c r="H8" s="15" t="s">
        <v>66</v>
      </c>
      <c r="I8" s="15" t="s">
        <v>51</v>
      </c>
      <c r="J8" s="15" t="s">
        <v>52</v>
      </c>
      <c r="K8" s="17" t="s">
        <v>10</v>
      </c>
      <c r="L8" s="15" t="s">
        <v>67</v>
      </c>
    </row>
    <row r="9" customFormat="false" ht="35.05" hidden="false" customHeight="false" outlineLevel="0" collapsed="false">
      <c r="A9" s="15" t="s">
        <v>44</v>
      </c>
      <c r="B9" s="15" t="s">
        <v>68</v>
      </c>
      <c r="C9" s="15" t="s">
        <v>46</v>
      </c>
      <c r="D9" s="15" t="s">
        <v>47</v>
      </c>
      <c r="E9" s="15" t="s">
        <v>69</v>
      </c>
      <c r="F9" s="15" t="s">
        <v>70</v>
      </c>
      <c r="G9" s="15" t="s">
        <v>71</v>
      </c>
      <c r="H9" s="15" t="s">
        <v>72</v>
      </c>
      <c r="I9" s="15" t="s">
        <v>73</v>
      </c>
      <c r="J9" s="15" t="s">
        <v>74</v>
      </c>
      <c r="K9" s="18" t="s">
        <v>12</v>
      </c>
      <c r="L9" s="15" t="s">
        <v>75</v>
      </c>
    </row>
    <row r="10" customFormat="false" ht="23.85" hidden="false" customHeight="false" outlineLevel="0" collapsed="false">
      <c r="A10" s="14" t="s">
        <v>76</v>
      </c>
      <c r="B10" s="15" t="s">
        <v>77</v>
      </c>
      <c r="C10" s="15" t="s">
        <v>78</v>
      </c>
      <c r="D10" s="15" t="s">
        <v>47</v>
      </c>
      <c r="E10" s="15" t="s">
        <v>79</v>
      </c>
      <c r="F10" s="15" t="s">
        <v>80</v>
      </c>
      <c r="G10" s="15" t="s">
        <v>81</v>
      </c>
      <c r="H10" s="15" t="s">
        <v>82</v>
      </c>
      <c r="I10" s="15" t="s">
        <v>51</v>
      </c>
      <c r="J10" s="15" t="s">
        <v>52</v>
      </c>
      <c r="K10" s="18" t="s">
        <v>12</v>
      </c>
      <c r="L10" s="15" t="s">
        <v>83</v>
      </c>
    </row>
    <row r="11" customFormat="false" ht="23.85" hidden="false" customHeight="false" outlineLevel="0" collapsed="false">
      <c r="A11" s="15" t="s">
        <v>76</v>
      </c>
      <c r="B11" s="15" t="s">
        <v>84</v>
      </c>
      <c r="C11" s="15" t="s">
        <v>85</v>
      </c>
      <c r="D11" s="15" t="s">
        <v>47</v>
      </c>
      <c r="E11" s="15" t="s">
        <v>86</v>
      </c>
      <c r="F11" s="15" t="s">
        <v>87</v>
      </c>
      <c r="G11" s="15" t="s">
        <v>87</v>
      </c>
      <c r="H11" s="15" t="s">
        <v>88</v>
      </c>
      <c r="I11" s="15" t="s">
        <v>89</v>
      </c>
      <c r="J11" s="15" t="s">
        <v>52</v>
      </c>
      <c r="K11" s="17" t="s">
        <v>10</v>
      </c>
      <c r="L11" s="15" t="s">
        <v>90</v>
      </c>
    </row>
    <row r="12" customFormat="false" ht="35.05" hidden="false" customHeight="false" outlineLevel="0" collapsed="false">
      <c r="A12" s="14" t="s">
        <v>91</v>
      </c>
      <c r="B12" s="15" t="s">
        <v>92</v>
      </c>
      <c r="C12" s="15" t="s">
        <v>93</v>
      </c>
      <c r="D12" s="15" t="s">
        <v>94</v>
      </c>
      <c r="E12" s="15" t="s">
        <v>95</v>
      </c>
      <c r="F12" s="15" t="s">
        <v>96</v>
      </c>
      <c r="G12" s="15" t="s">
        <v>97</v>
      </c>
      <c r="H12" s="15" t="s">
        <v>98</v>
      </c>
      <c r="I12" s="15" t="s">
        <v>99</v>
      </c>
      <c r="J12" s="15" t="s">
        <v>100</v>
      </c>
      <c r="K12" s="16" t="s">
        <v>8</v>
      </c>
      <c r="L12" s="15" t="s">
        <v>101</v>
      </c>
    </row>
    <row r="13" customFormat="false" ht="23.85" hidden="false" customHeight="false" outlineLevel="0" collapsed="false">
      <c r="A13" s="15" t="s">
        <v>91</v>
      </c>
      <c r="B13" s="15" t="s">
        <v>102</v>
      </c>
      <c r="C13" s="15" t="s">
        <v>93</v>
      </c>
      <c r="D13" s="15" t="s">
        <v>94</v>
      </c>
      <c r="E13" s="15" t="s">
        <v>103</v>
      </c>
      <c r="F13" s="15" t="s">
        <v>104</v>
      </c>
      <c r="G13" s="15" t="s">
        <v>105</v>
      </c>
      <c r="H13" s="15" t="s">
        <v>106</v>
      </c>
      <c r="I13" s="15" t="s">
        <v>99</v>
      </c>
      <c r="J13" s="15" t="s">
        <v>107</v>
      </c>
      <c r="K13" s="18" t="s">
        <v>12</v>
      </c>
      <c r="L13" s="15" t="s">
        <v>108</v>
      </c>
    </row>
    <row r="14" customFormat="false" ht="23.85" hidden="false" customHeight="false" outlineLevel="0" collapsed="false">
      <c r="A14" s="15" t="s">
        <v>91</v>
      </c>
      <c r="B14" s="15" t="s">
        <v>109</v>
      </c>
      <c r="C14" s="15" t="s">
        <v>46</v>
      </c>
      <c r="D14" s="15" t="s">
        <v>47</v>
      </c>
      <c r="E14" s="15" t="s">
        <v>110</v>
      </c>
      <c r="F14" s="15" t="s">
        <v>111</v>
      </c>
      <c r="G14" s="15" t="s">
        <v>112</v>
      </c>
      <c r="H14" s="15" t="s">
        <v>113</v>
      </c>
      <c r="I14" s="15" t="s">
        <v>114</v>
      </c>
      <c r="J14" s="15" t="s">
        <v>115</v>
      </c>
      <c r="K14" s="18" t="s">
        <v>12</v>
      </c>
      <c r="L14" s="15" t="s">
        <v>116</v>
      </c>
    </row>
    <row r="15" customFormat="false" ht="23.85" hidden="false" customHeight="false" outlineLevel="0" collapsed="false">
      <c r="A15" s="15" t="s">
        <v>91</v>
      </c>
      <c r="B15" s="15" t="s">
        <v>117</v>
      </c>
      <c r="C15" s="15" t="s">
        <v>46</v>
      </c>
      <c r="D15" s="15" t="s">
        <v>47</v>
      </c>
      <c r="E15" s="15" t="s">
        <v>110</v>
      </c>
      <c r="F15" s="15" t="s">
        <v>118</v>
      </c>
      <c r="G15" s="15" t="s">
        <v>119</v>
      </c>
      <c r="H15" s="15" t="s">
        <v>120</v>
      </c>
      <c r="I15" s="15" t="s">
        <v>114</v>
      </c>
      <c r="J15" s="15" t="s">
        <v>52</v>
      </c>
      <c r="K15" s="18" t="s">
        <v>12</v>
      </c>
      <c r="L15" s="15" t="s">
        <v>121</v>
      </c>
    </row>
    <row r="16" customFormat="false" ht="23.85" hidden="false" customHeight="false" outlineLevel="0" collapsed="false">
      <c r="A16" s="15" t="s">
        <v>91</v>
      </c>
      <c r="B16" s="15" t="s">
        <v>122</v>
      </c>
      <c r="C16" s="15" t="s">
        <v>46</v>
      </c>
      <c r="D16" s="15" t="s">
        <v>47</v>
      </c>
      <c r="E16" s="15" t="s">
        <v>110</v>
      </c>
      <c r="F16" s="15" t="s">
        <v>118</v>
      </c>
      <c r="G16" s="15" t="s">
        <v>123</v>
      </c>
      <c r="H16" s="15" t="s">
        <v>124</v>
      </c>
      <c r="I16" s="15" t="s">
        <v>114</v>
      </c>
      <c r="J16" s="15" t="s">
        <v>125</v>
      </c>
      <c r="K16" s="18" t="s">
        <v>12</v>
      </c>
      <c r="L16" s="15" t="s">
        <v>126</v>
      </c>
    </row>
    <row r="17" customFormat="false" ht="35.05" hidden="false" customHeight="false" outlineLevel="0" collapsed="false">
      <c r="A17" s="15" t="s">
        <v>91</v>
      </c>
      <c r="B17" s="15" t="s">
        <v>127</v>
      </c>
      <c r="C17" s="15" t="s">
        <v>46</v>
      </c>
      <c r="D17" s="15" t="s">
        <v>128</v>
      </c>
      <c r="E17" s="15" t="s">
        <v>129</v>
      </c>
      <c r="F17" s="15" t="s">
        <v>118</v>
      </c>
      <c r="G17" s="15" t="s">
        <v>130</v>
      </c>
      <c r="H17" s="15" t="s">
        <v>131</v>
      </c>
      <c r="I17" s="15" t="s">
        <v>52</v>
      </c>
      <c r="J17" s="15" t="s">
        <v>132</v>
      </c>
      <c r="K17" s="17" t="s">
        <v>10</v>
      </c>
      <c r="L17" s="15" t="s">
        <v>133</v>
      </c>
    </row>
    <row r="18" customFormat="false" ht="23.85" hidden="false" customHeight="false" outlineLevel="0" collapsed="false">
      <c r="A18" s="15" t="s">
        <v>91</v>
      </c>
      <c r="B18" s="15" t="s">
        <v>134</v>
      </c>
      <c r="C18" s="15" t="s">
        <v>46</v>
      </c>
      <c r="D18" s="15" t="s">
        <v>47</v>
      </c>
      <c r="E18" s="15" t="s">
        <v>110</v>
      </c>
      <c r="F18" s="15" t="s">
        <v>135</v>
      </c>
      <c r="G18" s="15" t="s">
        <v>136</v>
      </c>
      <c r="H18" s="15" t="s">
        <v>137</v>
      </c>
      <c r="I18" s="15" t="s">
        <v>89</v>
      </c>
      <c r="J18" s="15" t="s">
        <v>52</v>
      </c>
      <c r="K18" s="18" t="s">
        <v>12</v>
      </c>
      <c r="L18" s="15" t="s">
        <v>138</v>
      </c>
    </row>
    <row r="19" customFormat="false" ht="35.05" hidden="false" customHeight="false" outlineLevel="0" collapsed="false">
      <c r="A19" s="19" t="s">
        <v>139</v>
      </c>
      <c r="B19" s="20" t="s">
        <v>140</v>
      </c>
      <c r="C19" s="20" t="s">
        <v>46</v>
      </c>
      <c r="D19" s="20" t="s">
        <v>94</v>
      </c>
      <c r="E19" s="20" t="s">
        <v>141</v>
      </c>
      <c r="F19" s="20" t="s">
        <v>142</v>
      </c>
      <c r="G19" s="20" t="s">
        <v>143</v>
      </c>
      <c r="H19" s="20" t="s">
        <v>144</v>
      </c>
      <c r="I19" s="20" t="s">
        <v>145</v>
      </c>
      <c r="J19" s="20" t="s">
        <v>146</v>
      </c>
      <c r="K19" s="16" t="s">
        <v>8</v>
      </c>
      <c r="L19" s="20" t="s">
        <v>147</v>
      </c>
    </row>
    <row r="20" customFormat="false" ht="23.85" hidden="false" customHeight="false" outlineLevel="0" collapsed="false">
      <c r="A20" s="15" t="s">
        <v>139</v>
      </c>
      <c r="B20" s="15" t="s">
        <v>148</v>
      </c>
      <c r="C20" s="15" t="s">
        <v>85</v>
      </c>
      <c r="D20" s="15" t="s">
        <v>94</v>
      </c>
      <c r="E20" s="15" t="s">
        <v>149</v>
      </c>
      <c r="F20" s="15" t="s">
        <v>150</v>
      </c>
      <c r="G20" s="15" t="s">
        <v>150</v>
      </c>
      <c r="H20" s="15" t="s">
        <v>151</v>
      </c>
      <c r="I20" s="15" t="s">
        <v>152</v>
      </c>
      <c r="J20" s="15" t="s">
        <v>52</v>
      </c>
      <c r="K20" s="18" t="s">
        <v>12</v>
      </c>
      <c r="L20" s="15" t="s">
        <v>153</v>
      </c>
    </row>
    <row r="21" customFormat="false" ht="23.85" hidden="false" customHeight="false" outlineLevel="0" collapsed="false">
      <c r="A21" s="15" t="s">
        <v>139</v>
      </c>
      <c r="B21" s="15" t="s">
        <v>154</v>
      </c>
      <c r="C21" s="15" t="s">
        <v>155</v>
      </c>
      <c r="D21" s="15" t="s">
        <v>47</v>
      </c>
      <c r="E21" s="15" t="s">
        <v>110</v>
      </c>
      <c r="F21" s="15" t="s">
        <v>118</v>
      </c>
      <c r="G21" s="15" t="s">
        <v>156</v>
      </c>
      <c r="H21" s="15" t="s">
        <v>157</v>
      </c>
      <c r="I21" s="15" t="s">
        <v>89</v>
      </c>
      <c r="J21" s="15" t="s">
        <v>52</v>
      </c>
      <c r="K21" s="18" t="s">
        <v>12</v>
      </c>
      <c r="L21" s="15" t="s">
        <v>158</v>
      </c>
    </row>
    <row r="22" customFormat="false" ht="35.05" hidden="false" customHeight="false" outlineLevel="0" collapsed="false">
      <c r="A22" s="14" t="s">
        <v>159</v>
      </c>
      <c r="B22" s="15" t="s">
        <v>160</v>
      </c>
      <c r="C22" s="15" t="s">
        <v>46</v>
      </c>
      <c r="D22" s="15" t="s">
        <v>94</v>
      </c>
      <c r="E22" s="15" t="s">
        <v>161</v>
      </c>
      <c r="F22" s="15" t="s">
        <v>162</v>
      </c>
      <c r="G22" s="15" t="s">
        <v>163</v>
      </c>
      <c r="H22" s="15" t="s">
        <v>164</v>
      </c>
      <c r="I22" s="15" t="s">
        <v>165</v>
      </c>
      <c r="J22" s="15" t="s">
        <v>166</v>
      </c>
      <c r="K22" s="17" t="s">
        <v>10</v>
      </c>
      <c r="L22" s="15" t="s">
        <v>167</v>
      </c>
    </row>
    <row r="23" customFormat="false" ht="23.85" hidden="false" customHeight="false" outlineLevel="0" collapsed="false">
      <c r="A23" s="14" t="s">
        <v>168</v>
      </c>
      <c r="B23" s="15" t="s">
        <v>169</v>
      </c>
      <c r="C23" s="15" t="s">
        <v>85</v>
      </c>
      <c r="D23" s="15" t="s">
        <v>47</v>
      </c>
      <c r="E23" s="15" t="s">
        <v>110</v>
      </c>
      <c r="F23" s="15" t="s">
        <v>118</v>
      </c>
      <c r="G23" s="15" t="s">
        <v>170</v>
      </c>
      <c r="H23" s="15" t="s">
        <v>157</v>
      </c>
      <c r="I23" s="15" t="s">
        <v>114</v>
      </c>
      <c r="J23" s="15" t="s">
        <v>52</v>
      </c>
      <c r="K23" s="18" t="s">
        <v>12</v>
      </c>
      <c r="L23" s="15" t="s">
        <v>171</v>
      </c>
    </row>
    <row r="24" customFormat="false" ht="23.85" hidden="false" customHeight="false" outlineLevel="0" collapsed="false">
      <c r="A24" s="15" t="s">
        <v>168</v>
      </c>
      <c r="B24" s="15" t="s">
        <v>172</v>
      </c>
      <c r="C24" s="15" t="s">
        <v>173</v>
      </c>
      <c r="D24" s="15" t="s">
        <v>47</v>
      </c>
      <c r="E24" s="15" t="s">
        <v>110</v>
      </c>
      <c r="F24" s="15" t="s">
        <v>118</v>
      </c>
      <c r="G24" s="15" t="s">
        <v>174</v>
      </c>
      <c r="H24" s="15" t="s">
        <v>175</v>
      </c>
      <c r="I24" s="15" t="s">
        <v>89</v>
      </c>
      <c r="J24" s="15" t="s">
        <v>52</v>
      </c>
      <c r="K24" s="18" t="s">
        <v>12</v>
      </c>
      <c r="L24" s="15" t="s">
        <v>176</v>
      </c>
    </row>
    <row r="25" customFormat="false" ht="23.85" hidden="false" customHeight="false" outlineLevel="0" collapsed="false">
      <c r="A25" s="15" t="s">
        <v>168</v>
      </c>
      <c r="B25" s="15" t="s">
        <v>177</v>
      </c>
      <c r="C25" s="15" t="s">
        <v>173</v>
      </c>
      <c r="D25" s="15" t="s">
        <v>47</v>
      </c>
      <c r="E25" s="15" t="s">
        <v>110</v>
      </c>
      <c r="F25" s="15" t="s">
        <v>118</v>
      </c>
      <c r="G25" s="15" t="s">
        <v>178</v>
      </c>
      <c r="H25" s="15" t="s">
        <v>179</v>
      </c>
      <c r="I25" s="15" t="s">
        <v>89</v>
      </c>
      <c r="J25" s="15" t="s">
        <v>52</v>
      </c>
      <c r="K25" s="17" t="s">
        <v>10</v>
      </c>
      <c r="L25" s="15" t="s">
        <v>180</v>
      </c>
    </row>
    <row r="26" customFormat="false" ht="35.05" hidden="false" customHeight="false" outlineLevel="0" collapsed="false">
      <c r="A26" s="15" t="s">
        <v>168</v>
      </c>
      <c r="B26" s="15" t="s">
        <v>181</v>
      </c>
      <c r="C26" s="15" t="s">
        <v>85</v>
      </c>
      <c r="D26" s="15" t="s">
        <v>47</v>
      </c>
      <c r="E26" s="15" t="s">
        <v>110</v>
      </c>
      <c r="F26" s="15" t="s">
        <v>118</v>
      </c>
      <c r="G26" s="15" t="s">
        <v>182</v>
      </c>
      <c r="H26" s="15" t="s">
        <v>183</v>
      </c>
      <c r="I26" s="15" t="s">
        <v>114</v>
      </c>
      <c r="J26" s="15" t="s">
        <v>52</v>
      </c>
      <c r="K26" s="18" t="s">
        <v>12</v>
      </c>
      <c r="L26" s="15" t="s">
        <v>184</v>
      </c>
    </row>
    <row r="27" customFormat="false" ht="23.85" hidden="false" customHeight="false" outlineLevel="0" collapsed="false">
      <c r="A27" s="15" t="s">
        <v>168</v>
      </c>
      <c r="B27" s="15" t="s">
        <v>185</v>
      </c>
      <c r="C27" s="15" t="s">
        <v>85</v>
      </c>
      <c r="D27" s="15" t="s">
        <v>47</v>
      </c>
      <c r="E27" s="15" t="s">
        <v>110</v>
      </c>
      <c r="F27" s="15" t="s">
        <v>118</v>
      </c>
      <c r="G27" s="15" t="s">
        <v>186</v>
      </c>
      <c r="H27" s="15" t="s">
        <v>187</v>
      </c>
      <c r="I27" s="15" t="s">
        <v>89</v>
      </c>
      <c r="J27" s="15" t="s">
        <v>52</v>
      </c>
      <c r="K27" s="18" t="s">
        <v>12</v>
      </c>
      <c r="L27" s="15" t="s">
        <v>188</v>
      </c>
    </row>
    <row r="28" customFormat="false" ht="23.85" hidden="false" customHeight="false" outlineLevel="0" collapsed="false">
      <c r="A28" s="15" t="s">
        <v>168</v>
      </c>
      <c r="B28" s="15" t="s">
        <v>189</v>
      </c>
      <c r="C28" s="15" t="s">
        <v>85</v>
      </c>
      <c r="D28" s="15" t="s">
        <v>47</v>
      </c>
      <c r="E28" s="15" t="s">
        <v>110</v>
      </c>
      <c r="F28" s="15" t="s">
        <v>118</v>
      </c>
      <c r="G28" s="15" t="s">
        <v>190</v>
      </c>
      <c r="H28" s="15" t="s">
        <v>191</v>
      </c>
      <c r="I28" s="15" t="s">
        <v>89</v>
      </c>
      <c r="J28" s="15" t="s">
        <v>52</v>
      </c>
      <c r="K28" s="18" t="s">
        <v>12</v>
      </c>
      <c r="L28" s="15" t="s">
        <v>192</v>
      </c>
    </row>
    <row r="29" customFormat="false" ht="23.85" hidden="false" customHeight="false" outlineLevel="0" collapsed="false">
      <c r="A29" s="15" t="s">
        <v>168</v>
      </c>
      <c r="B29" s="15" t="s">
        <v>193</v>
      </c>
      <c r="C29" s="15" t="s">
        <v>85</v>
      </c>
      <c r="D29" s="15" t="s">
        <v>47</v>
      </c>
      <c r="E29" s="15" t="s">
        <v>110</v>
      </c>
      <c r="F29" s="15" t="s">
        <v>118</v>
      </c>
      <c r="G29" s="15" t="s">
        <v>194</v>
      </c>
      <c r="H29" s="15" t="s">
        <v>195</v>
      </c>
      <c r="I29" s="15" t="s">
        <v>89</v>
      </c>
      <c r="J29" s="15" t="s">
        <v>52</v>
      </c>
      <c r="K29" s="17" t="s">
        <v>10</v>
      </c>
      <c r="L29" s="15" t="s">
        <v>196</v>
      </c>
    </row>
    <row r="30" customFormat="false" ht="23.85" hidden="false" customHeight="false" outlineLevel="0" collapsed="false">
      <c r="A30" s="14" t="s">
        <v>197</v>
      </c>
      <c r="B30" s="15" t="s">
        <v>198</v>
      </c>
      <c r="C30" s="15" t="s">
        <v>173</v>
      </c>
      <c r="D30" s="15" t="s">
        <v>47</v>
      </c>
      <c r="E30" s="15" t="s">
        <v>110</v>
      </c>
      <c r="F30" s="15" t="s">
        <v>199</v>
      </c>
      <c r="G30" s="15" t="s">
        <v>200</v>
      </c>
      <c r="H30" s="15" t="s">
        <v>201</v>
      </c>
      <c r="I30" s="15" t="s">
        <v>89</v>
      </c>
      <c r="J30" s="15" t="s">
        <v>52</v>
      </c>
      <c r="K30" s="17" t="s">
        <v>10</v>
      </c>
      <c r="L30" s="15" t="s">
        <v>202</v>
      </c>
    </row>
    <row r="31" customFormat="false" ht="23.85" hidden="false" customHeight="false" outlineLevel="0" collapsed="false">
      <c r="A31" s="15" t="s">
        <v>197</v>
      </c>
      <c r="B31" s="15" t="s">
        <v>203</v>
      </c>
      <c r="C31" s="15" t="s">
        <v>173</v>
      </c>
      <c r="D31" s="15" t="s">
        <v>47</v>
      </c>
      <c r="E31" s="15" t="s">
        <v>110</v>
      </c>
      <c r="F31" s="15" t="s">
        <v>118</v>
      </c>
      <c r="G31" s="15" t="s">
        <v>204</v>
      </c>
      <c r="H31" s="15" t="s">
        <v>205</v>
      </c>
      <c r="I31" s="15" t="s">
        <v>89</v>
      </c>
      <c r="J31" s="15" t="s">
        <v>52</v>
      </c>
      <c r="K31" s="18" t="s">
        <v>12</v>
      </c>
      <c r="L31" s="15" t="s">
        <v>206</v>
      </c>
    </row>
    <row r="32" customFormat="false" ht="23.85" hidden="false" customHeight="false" outlineLevel="0" collapsed="false">
      <c r="A32" s="15" t="s">
        <v>197</v>
      </c>
      <c r="B32" s="15" t="s">
        <v>207</v>
      </c>
      <c r="C32" s="15" t="s">
        <v>85</v>
      </c>
      <c r="D32" s="15" t="s">
        <v>47</v>
      </c>
      <c r="E32" s="15" t="s">
        <v>110</v>
      </c>
      <c r="F32" s="15" t="s">
        <v>118</v>
      </c>
      <c r="G32" s="15" t="s">
        <v>208</v>
      </c>
      <c r="H32" s="15" t="s">
        <v>209</v>
      </c>
      <c r="I32" s="15" t="s">
        <v>89</v>
      </c>
      <c r="J32" s="15" t="s">
        <v>210</v>
      </c>
      <c r="K32" s="18" t="s">
        <v>12</v>
      </c>
      <c r="L32" s="15" t="s">
        <v>211</v>
      </c>
    </row>
    <row r="33" customFormat="false" ht="23.85" hidden="false" customHeight="false" outlineLevel="0" collapsed="false">
      <c r="A33" s="15" t="s">
        <v>197</v>
      </c>
      <c r="B33" s="15" t="s">
        <v>212</v>
      </c>
      <c r="C33" s="15" t="s">
        <v>85</v>
      </c>
      <c r="D33" s="15" t="s">
        <v>47</v>
      </c>
      <c r="E33" s="15" t="s">
        <v>110</v>
      </c>
      <c r="F33" s="15" t="s">
        <v>118</v>
      </c>
      <c r="G33" s="15" t="s">
        <v>213</v>
      </c>
      <c r="H33" s="15" t="s">
        <v>214</v>
      </c>
      <c r="I33" s="15" t="s">
        <v>89</v>
      </c>
      <c r="J33" s="15" t="s">
        <v>52</v>
      </c>
      <c r="K33" s="17" t="s">
        <v>10</v>
      </c>
      <c r="L33" s="15" t="s">
        <v>215</v>
      </c>
    </row>
    <row r="34" customFormat="false" ht="23.85" hidden="false" customHeight="false" outlineLevel="0" collapsed="false">
      <c r="A34" s="14" t="s">
        <v>216</v>
      </c>
      <c r="B34" s="15" t="s">
        <v>217</v>
      </c>
      <c r="C34" s="15" t="s">
        <v>85</v>
      </c>
      <c r="D34" s="15" t="s">
        <v>47</v>
      </c>
      <c r="E34" s="15" t="s">
        <v>110</v>
      </c>
      <c r="F34" s="15" t="s">
        <v>218</v>
      </c>
      <c r="G34" s="15" t="s">
        <v>218</v>
      </c>
      <c r="H34" s="15" t="s">
        <v>219</v>
      </c>
      <c r="I34" s="15" t="s">
        <v>114</v>
      </c>
      <c r="J34" s="15" t="s">
        <v>52</v>
      </c>
      <c r="K34" s="17" t="s">
        <v>10</v>
      </c>
      <c r="L34" s="15" t="s">
        <v>220</v>
      </c>
    </row>
    <row r="35" customFormat="false" ht="23.85" hidden="false" customHeight="false" outlineLevel="0" collapsed="false">
      <c r="A35" s="15" t="s">
        <v>216</v>
      </c>
      <c r="B35" s="15" t="s">
        <v>221</v>
      </c>
      <c r="C35" s="15" t="s">
        <v>85</v>
      </c>
      <c r="D35" s="15" t="s">
        <v>47</v>
      </c>
      <c r="E35" s="15" t="s">
        <v>110</v>
      </c>
      <c r="F35" s="15" t="s">
        <v>118</v>
      </c>
      <c r="G35" s="15" t="s">
        <v>222</v>
      </c>
      <c r="H35" s="15" t="s">
        <v>223</v>
      </c>
      <c r="I35" s="15" t="s">
        <v>114</v>
      </c>
      <c r="J35" s="15" t="s">
        <v>224</v>
      </c>
      <c r="K35" s="17" t="s">
        <v>10</v>
      </c>
      <c r="L35" s="15" t="s">
        <v>225</v>
      </c>
    </row>
    <row r="36" customFormat="false" ht="23.85" hidden="false" customHeight="false" outlineLevel="0" collapsed="false">
      <c r="A36" s="15" t="s">
        <v>216</v>
      </c>
      <c r="B36" s="15" t="s">
        <v>226</v>
      </c>
      <c r="C36" s="15" t="s">
        <v>85</v>
      </c>
      <c r="D36" s="15" t="s">
        <v>47</v>
      </c>
      <c r="E36" s="15" t="s">
        <v>110</v>
      </c>
      <c r="F36" s="15" t="s">
        <v>118</v>
      </c>
      <c r="G36" s="15" t="s">
        <v>227</v>
      </c>
      <c r="H36" s="15" t="s">
        <v>228</v>
      </c>
      <c r="I36" s="15" t="s">
        <v>114</v>
      </c>
      <c r="J36" s="15" t="s">
        <v>229</v>
      </c>
      <c r="K36" s="18" t="s">
        <v>12</v>
      </c>
      <c r="L36" s="15" t="s">
        <v>230</v>
      </c>
    </row>
    <row r="37" customFormat="false" ht="23.85" hidden="false" customHeight="false" outlineLevel="0" collapsed="false">
      <c r="A37" s="15" t="s">
        <v>216</v>
      </c>
      <c r="B37" s="15" t="s">
        <v>231</v>
      </c>
      <c r="C37" s="15" t="s">
        <v>85</v>
      </c>
      <c r="D37" s="15" t="s">
        <v>47</v>
      </c>
      <c r="E37" s="15" t="s">
        <v>110</v>
      </c>
      <c r="F37" s="15" t="s">
        <v>118</v>
      </c>
      <c r="G37" s="15" t="s">
        <v>232</v>
      </c>
      <c r="H37" s="15" t="s">
        <v>233</v>
      </c>
      <c r="I37" s="15" t="s">
        <v>89</v>
      </c>
      <c r="J37" s="15" t="s">
        <v>52</v>
      </c>
      <c r="K37" s="17" t="s">
        <v>10</v>
      </c>
      <c r="L37" s="15" t="s">
        <v>234</v>
      </c>
    </row>
    <row r="38" customFormat="false" ht="23.85" hidden="false" customHeight="false" outlineLevel="0" collapsed="false">
      <c r="A38" s="15" t="s">
        <v>216</v>
      </c>
      <c r="B38" s="15" t="s">
        <v>235</v>
      </c>
      <c r="C38" s="15" t="s">
        <v>85</v>
      </c>
      <c r="D38" s="15" t="s">
        <v>47</v>
      </c>
      <c r="E38" s="15" t="s">
        <v>110</v>
      </c>
      <c r="F38" s="15" t="s">
        <v>236</v>
      </c>
      <c r="G38" s="15" t="s">
        <v>236</v>
      </c>
      <c r="H38" s="15" t="s">
        <v>237</v>
      </c>
      <c r="I38" s="15" t="s">
        <v>89</v>
      </c>
      <c r="J38" s="15" t="s">
        <v>52</v>
      </c>
      <c r="K38" s="17" t="s">
        <v>10</v>
      </c>
      <c r="L38" s="15" t="s">
        <v>225</v>
      </c>
    </row>
    <row r="39" customFormat="false" ht="23.85" hidden="false" customHeight="false" outlineLevel="0" collapsed="false">
      <c r="A39" s="15" t="s">
        <v>216</v>
      </c>
      <c r="B39" s="15" t="s">
        <v>238</v>
      </c>
      <c r="C39" s="15" t="s">
        <v>173</v>
      </c>
      <c r="D39" s="15" t="s">
        <v>47</v>
      </c>
      <c r="E39" s="15" t="s">
        <v>110</v>
      </c>
      <c r="F39" s="15" t="s">
        <v>118</v>
      </c>
      <c r="G39" s="15" t="s">
        <v>239</v>
      </c>
      <c r="H39" s="15" t="s">
        <v>240</v>
      </c>
      <c r="I39" s="15" t="s">
        <v>241</v>
      </c>
      <c r="J39" s="15" t="s">
        <v>52</v>
      </c>
      <c r="K39" s="18" t="s">
        <v>12</v>
      </c>
      <c r="L39" s="15" t="s">
        <v>242</v>
      </c>
    </row>
    <row r="40" customFormat="false" ht="15" hidden="false" customHeight="false" outlineLevel="0" collapsed="false">
      <c r="A40" s="15" t="s">
        <v>216</v>
      </c>
      <c r="B40" s="15" t="s">
        <v>243</v>
      </c>
      <c r="C40" s="15" t="s">
        <v>85</v>
      </c>
      <c r="D40" s="15" t="s">
        <v>94</v>
      </c>
      <c r="E40" s="15" t="s">
        <v>149</v>
      </c>
      <c r="F40" s="15" t="s">
        <v>118</v>
      </c>
      <c r="G40" s="15" t="s">
        <v>244</v>
      </c>
      <c r="H40" s="15" t="s">
        <v>245</v>
      </c>
      <c r="I40" s="15" t="s">
        <v>152</v>
      </c>
      <c r="J40" s="15" t="s">
        <v>52</v>
      </c>
      <c r="K40" s="18" t="s">
        <v>12</v>
      </c>
      <c r="L40" s="15" t="s">
        <v>246</v>
      </c>
    </row>
    <row r="41" customFormat="false" ht="15" hidden="false" customHeight="false" outlineLevel="0" collapsed="false">
      <c r="A41" s="14" t="s">
        <v>247</v>
      </c>
      <c r="B41" s="15" t="s">
        <v>248</v>
      </c>
      <c r="C41" s="15" t="s">
        <v>85</v>
      </c>
      <c r="D41" s="15" t="s">
        <v>94</v>
      </c>
      <c r="E41" s="15" t="s">
        <v>249</v>
      </c>
      <c r="F41" s="15" t="s">
        <v>250</v>
      </c>
      <c r="G41" s="15" t="s">
        <v>250</v>
      </c>
      <c r="H41" s="15" t="s">
        <v>251</v>
      </c>
      <c r="I41" s="15" t="s">
        <v>99</v>
      </c>
      <c r="J41" s="15" t="s">
        <v>52</v>
      </c>
      <c r="K41" s="17" t="s">
        <v>10</v>
      </c>
      <c r="L41" s="15" t="s">
        <v>252</v>
      </c>
    </row>
    <row r="42" customFormat="false" ht="23.85" hidden="false" customHeight="false" outlineLevel="0" collapsed="false">
      <c r="A42" s="15" t="s">
        <v>247</v>
      </c>
      <c r="B42" s="15" t="s">
        <v>253</v>
      </c>
      <c r="C42" s="15" t="s">
        <v>85</v>
      </c>
      <c r="D42" s="15" t="s">
        <v>94</v>
      </c>
      <c r="E42" s="15" t="s">
        <v>254</v>
      </c>
      <c r="F42" s="15" t="s">
        <v>253</v>
      </c>
      <c r="G42" s="15" t="s">
        <v>255</v>
      </c>
      <c r="H42" s="15" t="s">
        <v>256</v>
      </c>
      <c r="I42" s="15" t="s">
        <v>99</v>
      </c>
      <c r="J42" s="15" t="s">
        <v>257</v>
      </c>
      <c r="K42" s="18" t="s">
        <v>12</v>
      </c>
      <c r="L42" s="15" t="s">
        <v>258</v>
      </c>
    </row>
  </sheetData>
  <autoFilter ref="A4:L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5" min="4" style="0" width="28"/>
    <col collapsed="false" customWidth="true" hidden="false" outlineLevel="0" max="6" min="6" style="0" width="34"/>
    <col collapsed="false" customWidth="true" hidden="false" outlineLevel="0" max="7" min="7" style="0" width="9"/>
  </cols>
  <sheetData>
    <row r="1" customFormat="false" ht="19.7" hidden="false" customHeight="false" outlineLevel="0" collapsed="false">
      <c r="A1" s="1" t="s">
        <v>259</v>
      </c>
    </row>
    <row r="3" customFormat="false" ht="15" hidden="false" customHeight="false" outlineLevel="0" collapsed="false">
      <c r="A3" s="13" t="s">
        <v>260</v>
      </c>
      <c r="B3" s="13" t="s">
        <v>261</v>
      </c>
      <c r="C3" s="13" t="s">
        <v>262</v>
      </c>
      <c r="D3" s="13" t="s">
        <v>263</v>
      </c>
      <c r="E3" s="13" t="s">
        <v>264</v>
      </c>
      <c r="F3" s="13" t="s">
        <v>41</v>
      </c>
      <c r="G3" s="13" t="s">
        <v>42</v>
      </c>
    </row>
    <row r="4" customFormat="false" ht="15" hidden="false" customHeight="false" outlineLevel="0" collapsed="false">
      <c r="A4" s="15" t="s">
        <v>85</v>
      </c>
      <c r="B4" s="15" t="s">
        <v>265</v>
      </c>
      <c r="C4" s="15" t="s">
        <v>266</v>
      </c>
      <c r="D4" s="15" t="s">
        <v>267</v>
      </c>
      <c r="E4" s="15" t="s">
        <v>268</v>
      </c>
      <c r="F4" s="15" t="s">
        <v>269</v>
      </c>
      <c r="G4" s="16" t="s">
        <v>8</v>
      </c>
    </row>
    <row r="5" customFormat="false" ht="15" hidden="false" customHeight="false" outlineLevel="0" collapsed="false">
      <c r="A5" s="15" t="s">
        <v>173</v>
      </c>
      <c r="B5" s="15" t="s">
        <v>270</v>
      </c>
      <c r="C5" s="15" t="s">
        <v>271</v>
      </c>
      <c r="D5" s="15" t="s">
        <v>272</v>
      </c>
      <c r="E5" s="15" t="s">
        <v>273</v>
      </c>
      <c r="F5" s="15" t="s">
        <v>274</v>
      </c>
      <c r="G5" s="17" t="s">
        <v>10</v>
      </c>
    </row>
    <row r="6" customFormat="false" ht="15" hidden="false" customHeight="false" outlineLevel="0" collapsed="false">
      <c r="A6" s="15" t="s">
        <v>155</v>
      </c>
      <c r="B6" s="15" t="s">
        <v>275</v>
      </c>
      <c r="C6" s="15" t="s">
        <v>276</v>
      </c>
      <c r="D6" s="15" t="s">
        <v>277</v>
      </c>
      <c r="E6" s="15" t="s">
        <v>278</v>
      </c>
      <c r="F6" s="15" t="s">
        <v>279</v>
      </c>
      <c r="G6" s="16" t="s">
        <v>8</v>
      </c>
    </row>
    <row r="7" customFormat="false" ht="15" hidden="false" customHeight="false" outlineLevel="0" collapsed="false">
      <c r="A7" s="15" t="s">
        <v>93</v>
      </c>
      <c r="B7" s="15" t="s">
        <v>280</v>
      </c>
      <c r="C7" s="15" t="s">
        <v>281</v>
      </c>
      <c r="D7" s="15" t="s">
        <v>282</v>
      </c>
      <c r="E7" s="15" t="s">
        <v>283</v>
      </c>
      <c r="F7" s="15" t="s">
        <v>284</v>
      </c>
      <c r="G7" s="17" t="s">
        <v>10</v>
      </c>
    </row>
    <row r="8" customFormat="false" ht="15" hidden="false" customHeight="false" outlineLevel="0" collapsed="false">
      <c r="A8" s="15" t="s">
        <v>78</v>
      </c>
      <c r="B8" s="15" t="s">
        <v>285</v>
      </c>
      <c r="C8" s="15" t="s">
        <v>286</v>
      </c>
      <c r="D8" s="15" t="s">
        <v>287</v>
      </c>
      <c r="E8" s="15" t="s">
        <v>288</v>
      </c>
      <c r="F8" s="15" t="s">
        <v>289</v>
      </c>
      <c r="G8" s="17" t="s">
        <v>10</v>
      </c>
    </row>
    <row r="9" customFormat="false" ht="15" hidden="false" customHeight="false" outlineLevel="0" collapsed="false">
      <c r="A9" s="15" t="s">
        <v>290</v>
      </c>
      <c r="B9" s="15" t="s">
        <v>291</v>
      </c>
      <c r="C9" s="15" t="s">
        <v>292</v>
      </c>
      <c r="D9" s="15" t="s">
        <v>293</v>
      </c>
      <c r="E9" s="15" t="s">
        <v>294</v>
      </c>
      <c r="F9" s="15" t="s">
        <v>295</v>
      </c>
      <c r="G9" s="17" t="s">
        <v>10</v>
      </c>
    </row>
    <row r="10" customFormat="false" ht="15" hidden="false" customHeight="false" outlineLevel="0" collapsed="false">
      <c r="A10" s="15" t="s">
        <v>296</v>
      </c>
      <c r="B10" s="15" t="s">
        <v>297</v>
      </c>
      <c r="C10" s="15" t="s">
        <v>298</v>
      </c>
      <c r="D10" s="15" t="s">
        <v>299</v>
      </c>
      <c r="E10" s="15" t="s">
        <v>300</v>
      </c>
      <c r="F10" s="15" t="s">
        <v>301</v>
      </c>
      <c r="G10" s="17" t="s">
        <v>10</v>
      </c>
    </row>
    <row r="11" customFormat="false" ht="15" hidden="false" customHeight="false" outlineLevel="0" collapsed="false">
      <c r="A11" s="15" t="s">
        <v>46</v>
      </c>
      <c r="B11" s="15" t="s">
        <v>302</v>
      </c>
      <c r="C11" s="15" t="s">
        <v>303</v>
      </c>
      <c r="D11" s="15" t="s">
        <v>304</v>
      </c>
      <c r="E11" s="15" t="s">
        <v>305</v>
      </c>
      <c r="F11" s="15" t="s">
        <v>306</v>
      </c>
      <c r="G11" s="17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3" min="3" style="0" width="44"/>
    <col collapsed="false" customWidth="true" hidden="false" outlineLevel="0" max="4" min="4" style="0" width="9"/>
  </cols>
  <sheetData>
    <row r="1" customFormat="false" ht="19.7" hidden="false" customHeight="false" outlineLevel="0" collapsed="false">
      <c r="A1" s="1" t="s">
        <v>307</v>
      </c>
    </row>
    <row r="3" customFormat="false" ht="15" hidden="false" customHeight="false" outlineLevel="0" collapsed="false">
      <c r="A3" s="13" t="s">
        <v>308</v>
      </c>
      <c r="B3" s="13" t="s">
        <v>309</v>
      </c>
      <c r="C3" s="13" t="s">
        <v>310</v>
      </c>
      <c r="D3" s="13" t="s">
        <v>42</v>
      </c>
    </row>
    <row r="4" customFormat="false" ht="23.85" hidden="false" customHeight="false" outlineLevel="0" collapsed="false">
      <c r="A4" s="15" t="s">
        <v>278</v>
      </c>
      <c r="B4" s="15" t="s">
        <v>311</v>
      </c>
      <c r="C4" s="15" t="s">
        <v>312</v>
      </c>
      <c r="D4" s="16" t="s">
        <v>8</v>
      </c>
    </row>
    <row r="5" customFormat="false" ht="23.85" hidden="false" customHeight="false" outlineLevel="0" collapsed="false">
      <c r="A5" s="15" t="s">
        <v>313</v>
      </c>
      <c r="B5" s="15" t="s">
        <v>314</v>
      </c>
      <c r="C5" s="15" t="s">
        <v>315</v>
      </c>
      <c r="D5" s="16" t="s">
        <v>8</v>
      </c>
    </row>
    <row r="6" customFormat="false" ht="23.85" hidden="false" customHeight="false" outlineLevel="0" collapsed="false">
      <c r="A6" s="15" t="s">
        <v>316</v>
      </c>
      <c r="B6" s="15" t="s">
        <v>317</v>
      </c>
      <c r="C6" s="15" t="s">
        <v>318</v>
      </c>
      <c r="D6" s="17" t="s">
        <v>10</v>
      </c>
    </row>
    <row r="7" customFormat="false" ht="15" hidden="false" customHeight="false" outlineLevel="0" collapsed="false">
      <c r="A7" s="15" t="s">
        <v>319</v>
      </c>
      <c r="B7" s="15" t="s">
        <v>320</v>
      </c>
      <c r="C7" s="15" t="s">
        <v>321</v>
      </c>
      <c r="D7" s="17" t="s">
        <v>10</v>
      </c>
    </row>
    <row r="8" customFormat="false" ht="15" hidden="false" customHeight="false" outlineLevel="0" collapsed="false">
      <c r="A8" s="15" t="s">
        <v>322</v>
      </c>
      <c r="B8" s="15" t="s">
        <v>323</v>
      </c>
      <c r="C8" s="15" t="s">
        <v>324</v>
      </c>
      <c r="D8" s="17" t="s">
        <v>10</v>
      </c>
    </row>
    <row r="9" customFormat="false" ht="15" hidden="false" customHeight="false" outlineLevel="0" collapsed="false">
      <c r="A9" s="15" t="s">
        <v>325</v>
      </c>
      <c r="B9" s="15" t="s">
        <v>326</v>
      </c>
      <c r="C9" s="15" t="s">
        <v>327</v>
      </c>
      <c r="D9" s="17" t="s">
        <v>10</v>
      </c>
    </row>
    <row r="10" customFormat="false" ht="23.85" hidden="false" customHeight="false" outlineLevel="0" collapsed="false">
      <c r="A10" s="15" t="s">
        <v>328</v>
      </c>
      <c r="B10" s="15" t="s">
        <v>329</v>
      </c>
      <c r="C10" s="15" t="s">
        <v>330</v>
      </c>
      <c r="D10" s="17" t="s">
        <v>10</v>
      </c>
    </row>
    <row r="11" customFormat="false" ht="23.85" hidden="false" customHeight="false" outlineLevel="0" collapsed="false">
      <c r="A11" s="15" t="s">
        <v>331</v>
      </c>
      <c r="B11" s="15" t="s">
        <v>332</v>
      </c>
      <c r="C11" s="15" t="s">
        <v>333</v>
      </c>
      <c r="D11" s="17" t="s">
        <v>10</v>
      </c>
    </row>
    <row r="12" customFormat="false" ht="23.85" hidden="false" customHeight="false" outlineLevel="0" collapsed="false">
      <c r="A12" s="15" t="s">
        <v>334</v>
      </c>
      <c r="B12" s="15" t="s">
        <v>335</v>
      </c>
      <c r="C12" s="15" t="s">
        <v>336</v>
      </c>
      <c r="D12" s="17" t="s">
        <v>10</v>
      </c>
    </row>
    <row r="13" customFormat="false" ht="15" hidden="false" customHeight="false" outlineLevel="0" collapsed="false">
      <c r="A13" s="15" t="s">
        <v>337</v>
      </c>
      <c r="B13" s="15" t="s">
        <v>338</v>
      </c>
      <c r="C13" s="15" t="s">
        <v>339</v>
      </c>
      <c r="D13" s="17" t="s">
        <v>10</v>
      </c>
    </row>
    <row r="14" customFormat="false" ht="15" hidden="false" customHeight="false" outlineLevel="0" collapsed="false">
      <c r="A14" s="15" t="s">
        <v>340</v>
      </c>
      <c r="B14" s="15" t="s">
        <v>341</v>
      </c>
      <c r="C14" s="15" t="s">
        <v>342</v>
      </c>
      <c r="D14" s="17" t="s">
        <v>10</v>
      </c>
    </row>
    <row r="15" customFormat="false" ht="23.85" hidden="false" customHeight="false" outlineLevel="0" collapsed="false">
      <c r="A15" s="15" t="s">
        <v>343</v>
      </c>
      <c r="B15" s="15" t="s">
        <v>344</v>
      </c>
      <c r="C15" s="15" t="s">
        <v>345</v>
      </c>
      <c r="D15" s="18" t="s">
        <v>12</v>
      </c>
    </row>
    <row r="16" customFormat="false" ht="15" hidden="false" customHeight="false" outlineLevel="0" collapsed="false">
      <c r="A16" s="15" t="s">
        <v>346</v>
      </c>
      <c r="B16" s="15" t="s">
        <v>347</v>
      </c>
      <c r="C16" s="15" t="s">
        <v>348</v>
      </c>
      <c r="D16" s="18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4" min="3" style="0" width="34"/>
  </cols>
  <sheetData>
    <row r="1" customFormat="false" ht="19.7" hidden="false" customHeight="false" outlineLevel="0" collapsed="false">
      <c r="A1" s="1" t="s">
        <v>349</v>
      </c>
    </row>
    <row r="3" customFormat="false" ht="15" hidden="false" customHeight="false" outlineLevel="0" collapsed="false">
      <c r="A3" s="13" t="s">
        <v>350</v>
      </c>
      <c r="B3" s="13" t="s">
        <v>351</v>
      </c>
      <c r="C3" s="13" t="s">
        <v>352</v>
      </c>
      <c r="D3" s="13" t="s">
        <v>353</v>
      </c>
    </row>
    <row r="4" customFormat="false" ht="23.85" hidden="false" customHeight="false" outlineLevel="0" collapsed="false">
      <c r="A4" s="15" t="s">
        <v>354</v>
      </c>
      <c r="B4" s="15" t="s">
        <v>355</v>
      </c>
      <c r="C4" s="15" t="s">
        <v>356</v>
      </c>
      <c r="D4" s="15" t="s">
        <v>357</v>
      </c>
    </row>
    <row r="5" customFormat="false" ht="23.85" hidden="false" customHeight="false" outlineLevel="0" collapsed="false">
      <c r="A5" s="15" t="s">
        <v>358</v>
      </c>
      <c r="B5" s="15" t="s">
        <v>359</v>
      </c>
      <c r="C5" s="15" t="s">
        <v>360</v>
      </c>
      <c r="D5" s="15" t="s">
        <v>361</v>
      </c>
    </row>
    <row r="6" customFormat="false" ht="15" hidden="false" customHeight="false" outlineLevel="0" collapsed="false">
      <c r="A6" s="15" t="s">
        <v>362</v>
      </c>
      <c r="B6" s="15" t="s">
        <v>363</v>
      </c>
      <c r="C6" s="15" t="s">
        <v>364</v>
      </c>
      <c r="D6" s="15" t="s">
        <v>365</v>
      </c>
    </row>
    <row r="7" customFormat="false" ht="23.85" hidden="false" customHeight="false" outlineLevel="0" collapsed="false">
      <c r="A7" s="15" t="s">
        <v>366</v>
      </c>
      <c r="B7" s="15" t="s">
        <v>367</v>
      </c>
      <c r="C7" s="15" t="s">
        <v>368</v>
      </c>
      <c r="D7" s="15" t="s">
        <v>369</v>
      </c>
    </row>
    <row r="8" customFormat="false" ht="23.85" hidden="false" customHeight="false" outlineLevel="0" collapsed="false">
      <c r="A8" s="15" t="s">
        <v>370</v>
      </c>
      <c r="B8" s="15" t="s">
        <v>371</v>
      </c>
      <c r="C8" s="15" t="s">
        <v>372</v>
      </c>
      <c r="D8" s="15" t="s">
        <v>373</v>
      </c>
    </row>
    <row r="9" customFormat="false" ht="15" hidden="false" customHeight="false" outlineLevel="0" collapsed="false">
      <c r="A9" s="15" t="s">
        <v>374</v>
      </c>
      <c r="B9" s="15" t="s">
        <v>375</v>
      </c>
      <c r="C9" s="15" t="s">
        <v>376</v>
      </c>
      <c r="D9" s="15" t="s">
        <v>377</v>
      </c>
    </row>
    <row r="10" customFormat="false" ht="15" hidden="false" customHeight="false" outlineLevel="0" collapsed="false">
      <c r="A10" s="15" t="s">
        <v>378</v>
      </c>
      <c r="B10" s="15" t="s">
        <v>379</v>
      </c>
      <c r="C10" s="15" t="s">
        <v>380</v>
      </c>
      <c r="D10" s="15" t="s">
        <v>379</v>
      </c>
    </row>
    <row r="11" customFormat="false" ht="15" hidden="false" customHeight="false" outlineLevel="0" collapsed="false">
      <c r="A11" s="15" t="s">
        <v>381</v>
      </c>
      <c r="B11" s="15" t="s">
        <v>382</v>
      </c>
      <c r="C11" s="15" t="s">
        <v>383</v>
      </c>
      <c r="D11" s="15" t="s">
        <v>382</v>
      </c>
    </row>
    <row r="12" customFormat="false" ht="15" hidden="false" customHeight="false" outlineLevel="0" collapsed="false">
      <c r="A12" s="15" t="s">
        <v>253</v>
      </c>
      <c r="B12" s="15" t="s">
        <v>384</v>
      </c>
      <c r="C12" s="15" t="s">
        <v>385</v>
      </c>
      <c r="D12" s="15" t="s">
        <v>384</v>
      </c>
    </row>
    <row r="13" customFormat="false" ht="23.85" hidden="false" customHeight="false" outlineLevel="0" collapsed="false">
      <c r="A13" s="15" t="s">
        <v>386</v>
      </c>
      <c r="B13" s="15" t="s">
        <v>387</v>
      </c>
      <c r="C13" s="15" t="s">
        <v>388</v>
      </c>
      <c r="D13" s="15" t="s">
        <v>389</v>
      </c>
    </row>
    <row r="14" customFormat="false" ht="15" hidden="false" customHeight="false" outlineLevel="0" collapsed="false">
      <c r="A14" s="15" t="s">
        <v>390</v>
      </c>
      <c r="B14" s="15" t="s">
        <v>8</v>
      </c>
      <c r="C14" s="15" t="s">
        <v>391</v>
      </c>
      <c r="D14" s="15" t="s">
        <v>392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4" min="3" style="0" width="40"/>
    <col collapsed="false" customWidth="true" hidden="false" outlineLevel="0" max="5" min="5" style="0" width="20"/>
  </cols>
  <sheetData>
    <row r="1" customFormat="false" ht="19.7" hidden="false" customHeight="false" outlineLevel="0" collapsed="false">
      <c r="A1" s="1" t="s">
        <v>393</v>
      </c>
    </row>
    <row r="2" customFormat="false" ht="15" hidden="false" customHeight="false" outlineLevel="0" collapsed="false">
      <c r="A2" s="2" t="s">
        <v>394</v>
      </c>
    </row>
    <row r="3" customFormat="false" ht="15" hidden="false" customHeight="false" outlineLevel="0" collapsed="false">
      <c r="A3" s="13" t="s">
        <v>395</v>
      </c>
      <c r="B3" s="13" t="s">
        <v>396</v>
      </c>
      <c r="C3" s="13" t="s">
        <v>397</v>
      </c>
      <c r="D3" s="13" t="s">
        <v>398</v>
      </c>
      <c r="E3" s="13" t="s">
        <v>399</v>
      </c>
    </row>
    <row r="4" customFormat="false" ht="15" hidden="false" customHeight="false" outlineLevel="0" collapsed="false">
      <c r="A4" s="15" t="s">
        <v>400</v>
      </c>
      <c r="B4" s="15" t="s">
        <v>401</v>
      </c>
      <c r="C4" s="15" t="s">
        <v>52</v>
      </c>
      <c r="D4" s="15" t="s">
        <v>52</v>
      </c>
      <c r="E4" s="21" t="s">
        <v>402</v>
      </c>
    </row>
    <row r="5" customFormat="false" ht="23.85" hidden="false" customHeight="false" outlineLevel="0" collapsed="false">
      <c r="A5" s="15" t="s">
        <v>85</v>
      </c>
      <c r="B5" s="15" t="s">
        <v>403</v>
      </c>
      <c r="C5" s="15" t="s">
        <v>404</v>
      </c>
      <c r="D5" s="15" t="s">
        <v>405</v>
      </c>
      <c r="E5" s="22"/>
    </row>
    <row r="6" customFormat="false" ht="15" hidden="false" customHeight="false" outlineLevel="0" collapsed="false">
      <c r="A6" s="15" t="s">
        <v>173</v>
      </c>
      <c r="B6" s="15" t="s">
        <v>406</v>
      </c>
      <c r="C6" s="15" t="s">
        <v>407</v>
      </c>
      <c r="D6" s="15" t="s">
        <v>408</v>
      </c>
      <c r="E6" s="22"/>
    </row>
    <row r="7" customFormat="false" ht="15" hidden="false" customHeight="false" outlineLevel="0" collapsed="false">
      <c r="A7" s="15" t="s">
        <v>155</v>
      </c>
      <c r="B7" s="15" t="s">
        <v>409</v>
      </c>
      <c r="C7" s="15" t="s">
        <v>410</v>
      </c>
      <c r="D7" s="15" t="s">
        <v>411</v>
      </c>
      <c r="E7" s="22"/>
    </row>
    <row r="8" customFormat="false" ht="15" hidden="false" customHeight="false" outlineLevel="0" collapsed="false">
      <c r="A8" s="15" t="s">
        <v>93</v>
      </c>
      <c r="B8" s="15" t="s">
        <v>412</v>
      </c>
      <c r="C8" s="15" t="s">
        <v>413</v>
      </c>
      <c r="D8" s="15" t="s">
        <v>414</v>
      </c>
      <c r="E8" s="22"/>
    </row>
    <row r="9" customFormat="false" ht="15" hidden="false" customHeight="false" outlineLevel="0" collapsed="false">
      <c r="A9" s="15" t="s">
        <v>78</v>
      </c>
      <c r="B9" s="15" t="s">
        <v>415</v>
      </c>
      <c r="C9" s="15" t="s">
        <v>416</v>
      </c>
      <c r="D9" s="15" t="s">
        <v>417</v>
      </c>
      <c r="E9" s="22"/>
    </row>
    <row r="10" customFormat="false" ht="15" hidden="false" customHeight="false" outlineLevel="0" collapsed="false">
      <c r="A10" s="15" t="s">
        <v>290</v>
      </c>
      <c r="B10" s="15" t="s">
        <v>418</v>
      </c>
      <c r="C10" s="15" t="s">
        <v>419</v>
      </c>
      <c r="D10" s="15" t="s">
        <v>420</v>
      </c>
      <c r="E10" s="22"/>
    </row>
    <row r="11" customFormat="false" ht="15" hidden="false" customHeight="false" outlineLevel="0" collapsed="false">
      <c r="A11" s="15" t="s">
        <v>296</v>
      </c>
      <c r="B11" s="15" t="s">
        <v>421</v>
      </c>
      <c r="C11" s="15" t="s">
        <v>422</v>
      </c>
      <c r="D11" s="15" t="s">
        <v>423</v>
      </c>
      <c r="E11" s="22"/>
    </row>
    <row r="12" customFormat="false" ht="15" hidden="false" customHeight="false" outlineLevel="0" collapsed="false">
      <c r="A12" s="15" t="s">
        <v>46</v>
      </c>
      <c r="B12" s="15" t="s">
        <v>424</v>
      </c>
      <c r="C12" s="15" t="s">
        <v>425</v>
      </c>
      <c r="D12" s="15" t="s">
        <v>426</v>
      </c>
      <c r="E12" s="22"/>
    </row>
    <row r="13" customFormat="false" ht="15" hidden="false" customHeight="false" outlineLevel="0" collapsed="false">
      <c r="A13" s="15" t="s">
        <v>427</v>
      </c>
      <c r="B13" s="15" t="s">
        <v>428</v>
      </c>
      <c r="C13" s="15" t="s">
        <v>429</v>
      </c>
      <c r="D13" s="15" t="s">
        <v>430</v>
      </c>
      <c r="E13" s="22"/>
    </row>
    <row r="14" customFormat="false" ht="15" hidden="false" customHeight="false" outlineLevel="0" collapsed="false">
      <c r="A14" s="15" t="s">
        <v>431</v>
      </c>
      <c r="B14" s="15" t="s">
        <v>432</v>
      </c>
      <c r="C14" s="15" t="s">
        <v>433</v>
      </c>
      <c r="D14" s="15" t="s">
        <v>434</v>
      </c>
      <c r="E14" s="22"/>
    </row>
    <row r="15" customFormat="false" ht="15" hidden="false" customHeight="false" outlineLevel="0" collapsed="false">
      <c r="A15" s="15" t="s">
        <v>435</v>
      </c>
      <c r="B15" s="15" t="s">
        <v>436</v>
      </c>
      <c r="C15" s="15" t="s">
        <v>437</v>
      </c>
      <c r="D15" s="15" t="s">
        <v>438</v>
      </c>
      <c r="E15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2026-07-18T00:45:58Z</dcterms:created>
  <dc:creator>openpyxl</dc:creator>
  <dc:description/>
  <dc:language>en-US</dc:language>
  <cp:lastModifiedBy/>
  <dcterms:modified xsi:type="dcterms:W3CDTF">2026-07-18T00:48:36Z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